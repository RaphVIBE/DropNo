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Synthèse" sheetId="2" state="visible" r:id="rId4"/>
  </sheets>
  <definedNames>
    <definedName function="false" hidden="true" localSheetId="0" name="_xlnm._FilterDatabase" vbProcedure="false">Pipeline!$A$1:$O$17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<sst xmlns="http://schemas.openxmlformats.org/spreadsheetml/2006/main" count="200" uniqueCount="158">
  <si>
    <t xml:space="preserve">Maison</t>
  </si>
  <si>
    <t xml:space="preserve">Pays</t>
  </si>
  <si>
    <t xml:space="preserve">Tier</t>
  </si>
  <si>
    <t xml:space="preserve">Priorité</t>
  </si>
  <si>
    <t xml:space="preserve">Contact</t>
  </si>
  <si>
    <t xml:space="preserve">Canal</t>
  </si>
  <si>
    <t xml:space="preserve">Gamme prix (€)</t>
  </si>
  <si>
    <t xml:space="preserve">Drop type proposé</t>
  </si>
  <si>
    <t xml:space="preserve">Plancher cible (€)</t>
  </si>
  <si>
    <t xml:space="preserve">Angle</t>
  </si>
  <si>
    <t xml:space="preserve">Statut</t>
  </si>
  <si>
    <t xml:space="preserve">1er contact</t>
  </si>
  <si>
    <t xml:space="preserve">Relance (J+8)</t>
  </si>
  <si>
    <t xml:space="preserve">Démo / Fiche</t>
  </si>
  <si>
    <t xml:space="preserve">Notes</t>
  </si>
  <si>
    <t xml:space="preserve">Furlan Marri</t>
  </si>
  <si>
    <t xml:space="preserve">Suisse</t>
  </si>
  <si>
    <t xml:space="preserve">A</t>
  </si>
  <si>
    <t xml:space="preserve">Andrea Furlan &amp; Hamad Al Marri</t>
  </si>
  <si>
    <t xml:space="preserve">info@furlanmarri.com + DM IG</t>
  </si>
  <si>
    <t xml:space="preserve">2 500–15 000</t>
  </si>
  <si>
    <t xml:space="preserve">Chrono méca / capsule, 8-12 ex.</t>
  </si>
  <si>
    <t xml:space="preserve">Course au F5, spread laissé aux flippers</t>
  </si>
  <si>
    <t xml:space="preserve">Email + démo prêts</t>
  </si>
  <si>
    <t xml:space="preserve">/demo/furlan-marri · email_furlan_marri.md</t>
  </si>
  <si>
    <t xml:space="preserve">Intro possible via W. Massena</t>
  </si>
  <si>
    <t xml:space="preserve">Atelier Wen</t>
  </si>
  <si>
    <t xml:space="preserve">France/Chine</t>
  </si>
  <si>
    <t xml:space="preserve">Robin Tallendier &amp; Wilfried Buiron</t>
  </si>
  <si>
    <t xml:space="preserve">Site + LinkedIn (R. Tallendier)</t>
  </si>
  <si>
    <t xml:space="preserve">4 000–6 000</t>
  </si>
  <si>
    <t xml:space="preserve">Perception cadran exclusif, 10-20 ex.</t>
  </si>
  <si>
    <t xml:space="preserve">Éditions 50-100 ex. sold out en heures à prix fixe</t>
  </si>
  <si>
    <t xml:space="preserve">Email à re-rédiger</t>
  </si>
  <si>
    <t xml:space="preserve">maisons/atelier-wen.md (à recréer)</t>
  </si>
  <si>
    <t xml:space="preserve">Guillochage main Cheng Yucai</t>
  </si>
  <si>
    <t xml:space="preserve">Trilobe</t>
  </si>
  <si>
    <t xml:space="preserve">France</t>
  </si>
  <si>
    <t xml:space="preserve">Gautier Massonneau</t>
  </si>
  <si>
    <t xml:space="preserve">LinkedIn / contact presse</t>
  </si>
  <si>
    <t xml:space="preserve">8 000–22 000</t>
  </si>
  <si>
    <t xml:space="preserve">Variante Nuit Fantastique, 8 ex.</t>
  </si>
  <si>
    <t xml:space="preserve">Test de demande hors circuit dealer</t>
  </si>
  <si>
    <t xml:space="preserve">Démo prête · email à re-rédiger</t>
  </si>
  <si>
    <t xml:space="preserve">/demo/trilobe</t>
  </si>
  <si>
    <t xml:space="preserve">Profil finance, sensible data. Ménager le retail</t>
  </si>
  <si>
    <t xml:space="preserve">Kudoke</t>
  </si>
  <si>
    <t xml:space="preserve">Allemagne</t>
  </si>
  <si>
    <t xml:space="preserve">Stefan &amp; Ev Kudoke</t>
  </si>
  <si>
    <t xml:space="preserve">kudoke.eu (direct)</t>
  </si>
  <si>
    <t xml:space="preserve">5 000–10 000</t>
  </si>
  <si>
    <t xml:space="preserve">Kudoke 2 cadran spécial, 5-8 ex.</t>
  </si>
  <si>
    <t xml:space="preserve">Rareté réelle (handwerk), waitlist opaque</t>
  </si>
  <si>
    <t xml:space="preserve">(fiche + email à recréer)</t>
  </si>
  <si>
    <t xml:space="preserve">GPHG 2019. Capacité limitée</t>
  </si>
  <si>
    <t xml:space="preserve">Holthinrichs</t>
  </si>
  <si>
    <t xml:space="preserve">Pays-Bas</t>
  </si>
  <si>
    <t xml:space="preserve">Michiel Holthinrichs</t>
  </si>
  <si>
    <t xml:space="preserve">Site / IG</t>
  </si>
  <si>
    <t xml:space="preserve">4 100–26 000</t>
  </si>
  <si>
    <t xml:space="preserve">Édition artisanale, 8-10 ex.</t>
  </si>
  <si>
    <t xml:space="preserve">Micro-séries 10 ex. = format Drop No. exact</t>
  </si>
  <si>
    <t xml:space="preserve">Delft, proche Anvers — visite atelier</t>
  </si>
  <si>
    <t xml:space="preserve">Sartory Billard</t>
  </si>
  <si>
    <t xml:space="preserve">Armand Billard</t>
  </si>
  <si>
    <t xml:space="preserve">IG / site (FR)</t>
  </si>
  <si>
    <t xml:space="preserve">8 400–30 000</t>
  </si>
  <si>
    <t xml:space="preserve">Série SB05 cadran unique, 3-5 ex.</t>
  </si>
  <si>
    <t xml:space="preserve">Inverser le bespoke : le marché fixe le prix</t>
  </si>
  <si>
    <t xml:space="preserve">Made-to-order 9 mois — drop = événement annuel</t>
  </si>
  <si>
    <t xml:space="preserve">Fears</t>
  </si>
  <si>
    <t xml:space="preserve">Royaume-Uni</t>
  </si>
  <si>
    <t xml:space="preserve">Nicholas Bowman-Scargill</t>
  </si>
  <si>
    <t xml:space="preserve">Email site</t>
  </si>
  <si>
    <t xml:space="preserve">3 000–25 000</t>
  </si>
  <si>
    <t xml:space="preserve">Brunswick édition continentale, 8-10 ex.</t>
  </si>
  <si>
    <t xml:space="preserve">Boutique Editions 10 ex. inaccessibles EU</t>
  </si>
  <si>
    <t xml:space="preserve">En attente (Brexit)</t>
  </si>
  <si>
    <t xml:space="preserve">Valider douane/TVA UK→UE avant</t>
  </si>
  <si>
    <t xml:space="preserve">Ressence</t>
  </si>
  <si>
    <t xml:space="preserve">Belgique</t>
  </si>
  <si>
    <t xml:space="preserve">B</t>
  </si>
  <si>
    <t xml:space="preserve">Benoît Mintiens</t>
  </si>
  <si>
    <t xml:space="preserve">Email Anvers / LinkedIn</t>
  </si>
  <si>
    <t xml:space="preserve">20 000–50 000</t>
  </si>
  <si>
    <t xml:space="preserve">Variante Type 1 / capsule, 4-6 ex.</t>
  </si>
  <si>
    <t xml:space="preserve">Crédibilité halo + test hors dealer</t>
  </si>
  <si>
    <t xml:space="preserve">/demo/ressence · email_ressence.md</t>
  </si>
  <si>
    <t xml:space="preserve">Email corrigé (Benoît Mintiens). ⚠️ message_demo.md dit encore 'Maxime' → corriger. &gt;10k = sur mesure</t>
  </si>
  <si>
    <t xml:space="preserve">C. van der Klaauw</t>
  </si>
  <si>
    <t xml:space="preserve">Pim Koeslag (CEO)</t>
  </si>
  <si>
    <t xml:space="preserve">klaauw.com / LinkedIn</t>
  </si>
  <si>
    <t xml:space="preserve">8 000–47 000</t>
  </si>
  <si>
    <t xml:space="preserve">Édition astronomique datée, 3-5 ex.</t>
  </si>
  <si>
    <t xml:space="preserve">Drop calé sur un événement céleste = rituel jeudi 18h</t>
  </si>
  <si>
    <t xml:space="preserve">Délais fabrication longs</t>
  </si>
  <si>
    <t xml:space="preserve">Czapek &amp; Cie</t>
  </si>
  <si>
    <t xml:space="preserve">Xavier de Roquemaurel (CEO)</t>
  </si>
  <si>
    <t xml:space="preserve">Contact presse / LinkedIn</t>
  </si>
  <si>
    <t xml:space="preserve">10 000–30 000</t>
  </si>
  <si>
    <t xml:space="preserve">Antarctique cadran exclusif, 5-8 ex.</t>
  </si>
  <si>
    <t xml:space="preserve">Né d'une souscription : sealed bid = suite logique</t>
  </si>
  <si>
    <t xml:space="preserve">Décision plus lente (retail mondial)</t>
  </si>
  <si>
    <t xml:space="preserve">Raidillon</t>
  </si>
  <si>
    <t xml:space="preserve">C</t>
  </si>
  <si>
    <t xml:space="preserve">Fabien de Schaetzen</t>
  </si>
  <si>
    <t xml:space="preserve">LinkedIn / réseau BE</t>
  </si>
  <si>
    <t xml:space="preserve">2 300–2 700 (cœur)</t>
  </si>
  <si>
    <t xml:space="preserve">Chrono édition circuit ≥3 000 €, 8-12 ex.</t>
  </si>
  <si>
    <t xml:space="preserve">Format 55 ex. déjà un drop ; n° gravé = écho Privilège 001</t>
  </si>
  <si>
    <t xml:space="preserve">/demo/raidillon-55</t>
  </si>
  <si>
    <t xml:space="preserve">Démo /demo/raidillon-55 · email_raidillon.md (hello@raidillon.com). Cœur sous plancher → édition spéciale. Belge. Pitch = prochaine sortie en exclu (calendrier)</t>
  </si>
  <si>
    <t xml:space="preserve">Col&amp;MacArthur</t>
  </si>
  <si>
    <t xml:space="preserve">Sébastien Colen</t>
  </si>
  <si>
    <t xml:space="preserve">LinkedIn / site (FR)</t>
  </si>
  <si>
    <t xml:space="preserve">2 949 € (Francorchamps auto) · cœur 350–2 000</t>
  </si>
  <si>
    <t xml:space="preserve">Francorchamps 1921 Auto, allocation 12 ex.</t>
  </si>
  <si>
    <t xml:space="preserve">Cadran asphalte du circuit, collab officielle Spa, /500 numérotées : déjà un drop</t>
  </si>
  <si>
    <t xml:space="preserve">/demo/col-macarthur · email_col_macarthur.md · maisons/col-macarthur.md</t>
  </si>
  <si>
    <t xml:space="preserve">PHARE = Francorchamps 1921 (asphalte+vibreurs+acier Uniroyal, Sellita SW500, titane 41mm). Démo /demo/col-macarthur · email_col_macarthur.md · maisons/col-macarthur.md. Liège</t>
  </si>
  <si>
    <t xml:space="preserve">anOrdain</t>
  </si>
  <si>
    <t xml:space="preserve">Lewis Heath</t>
  </si>
  <si>
    <t xml:space="preserve">anordain.com</t>
  </si>
  <si>
    <t xml:space="preserve">1 500–3 000</t>
  </si>
  <si>
    <t xml:space="preserve">Model 3 émail exclusif ≥3 000 €, 10 ex.</t>
  </si>
  <si>
    <t xml:space="preserve">Waitlist structurelle, sealed bid résout la file</t>
  </si>
  <si>
    <t xml:space="preserve">Veille</t>
  </si>
  <si>
    <t xml:space="preserve">(à recréer)</t>
  </si>
  <si>
    <t xml:space="preserve">Core sous plancher + Brexit</t>
  </si>
  <si>
    <t xml:space="preserve">Semper &amp; Adhuc</t>
  </si>
  <si>
    <t xml:space="preserve">Colin de Tonnac</t>
  </si>
  <si>
    <t xml:space="preserve">Site (FR)</t>
  </si>
  <si>
    <t xml:space="preserve">≈2 500</t>
  </si>
  <si>
    <t xml:space="preserve">Série calibres vintage rares ≥3 000 €, 5-8 ex.</t>
  </si>
  <si>
    <t xml:space="preserve">Chaque pièce non-reproductible = drop numéroté parfait</t>
  </si>
  <si>
    <t xml:space="preserve">Bordeaux, ex-Patek</t>
  </si>
  <si>
    <t xml:space="preserve">Baltic</t>
  </si>
  <si>
    <t xml:space="preserve">Étienne Malec</t>
  </si>
  <si>
    <t xml:space="preserve">600–1 500 (cœur)</t>
  </si>
  <si>
    <t xml:space="preserve">Édition haute (or/collab) uniquement</t>
  </si>
  <si>
    <t xml:space="preserve">Grosse machine à sell-out FR, cœur sous plancher</t>
  </si>
  <si>
    <t xml:space="preserve">Attendre une édition ≥3 000 €</t>
  </si>
  <si>
    <t xml:space="preserve">Studio Underd0g</t>
  </si>
  <si>
    <t xml:space="preserve">Richard Benc</t>
  </si>
  <si>
    <t xml:space="preserve">IG / YouTube</t>
  </si>
  <si>
    <t xml:space="preserve">500–2 000</t>
  </si>
  <si>
    <t xml:space="preserve">v2 si plancher abaissé</t>
  </si>
  <si>
    <t xml:space="preserve">Culture drop la plus pure du segment</t>
  </si>
  <si>
    <t xml:space="preserve">Hors scope prix MVP</t>
  </si>
  <si>
    <t xml:space="preserve">Pipeline Drop No. — synthèse</t>
  </si>
  <si>
    <t xml:space="preserve">Maisons total</t>
  </si>
  <si>
    <t xml:space="preserve">Tier A (cœur de cible)</t>
  </si>
  <si>
    <t xml:space="preserve">Tier B (halo &gt;15k€)</t>
  </si>
  <si>
    <t xml:space="preserve">Tier C (veille / édition haute)</t>
  </si>
  <si>
    <t xml:space="preserve">Démos prêtes</t>
  </si>
  <si>
    <t xml:space="preserve">Emails prêts (sur disque)</t>
  </si>
  <si>
    <t xml:space="preserve">⚠️ Démos en base : furlan-marri, ressence, trilobe, raidillon-55, col-macarthur (5).</t>
  </si>
  <si>
    <t xml:space="preserve">⚠️ Emails sur disque : furlan_marri, ressence, col_macarthur. Les autres ont été perdus (non commités) — à recréer.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</si>
</sst>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A6D3B"/>
      <name val="Arial"/>
      <family val="0"/>
      <charset val="1"/>
    </font>
    <font>
      <b val="true"/>
      <sz val="10"/>
      <color rgb="FF1A1A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A6D3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4"/>
        <bgColor rgb="FF003300"/>
      </patternFill>
    </fill>
    <fill>
      <patternFill patternType="solid">
        <fgColor rgb="FFEFE7D7"/>
        <bgColor rgb="FFF7F5F0"/>
      </patternFill>
    </fill>
    <fill>
      <patternFill patternType="solid">
        <fgColor rgb="FFF7F5F0"/>
        <bgColor rgb="FFFFFFFF"/>
      </patternFill>
    </fill>
    <fill>
      <patternFill patternType="solid">
        <fgColor rgb="FFFFFFFF"/>
        <bgColor rgb="FFF7F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14"/>
          <bgColor rgb="FF000000"/>
        </patternFill>
      </fill>
    </dxf>
    <dxf>
      <fill>
        <patternFill patternType="solid">
          <fgColor rgb="FFEFE7D7"/>
          <bgColor rgb="FF000000"/>
        </patternFill>
      </fill>
    </dxf>
    <dxf>
      <fill>
        <patternFill patternType="solid">
          <fgColor rgb="FFF7F5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A6D3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08080"/>
      <rgbColor rgb="FFD6D2C7"/>
      <rgbColor rgb="FF808080"/>
      <rgbColor rgb="FF9999FF"/>
      <rgbColor rgb="FF993366"/>
      <rgbColor rgb="FFF7F5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24"/>
    <col collapsed="false" customWidth="true" hidden="false" outlineLevel="0" max="7" min="7" style="1" width="15"/>
    <col collapsed="false" customWidth="true" hidden="false" outlineLevel="0" max="8" min="8" style="1" width="30"/>
    <col collapsed="false" customWidth="true" hidden="false" outlineLevel="0" max="9" min="9" style="1" width="12"/>
    <col collapsed="false" customWidth="true" hidden="false" outlineLevel="0" max="10" min="10" style="1" width="40"/>
    <col collapsed="false" customWidth="true" hidden="false" outlineLevel="0" max="11" min="11" style="1" width="2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30"/>
    <col collapsed="false" customWidth="true" hidden="false" outlineLevel="0" max="15" min="15" style="1" width="40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3.25" hidden="false" customHeight="true" outlineLevel="0" collapsed="false">
      <c r="A2" s="3" t="s">
        <v>15</v>
      </c>
      <c r="B2" s="3" t="s">
        <v>16</v>
      </c>
      <c r="C2" s="4" t="s">
        <v>17</v>
      </c>
      <c r="D2" s="3" t="n">
        <v>1</v>
      </c>
      <c r="E2" s="3" t="s">
        <v>18</v>
      </c>
      <c r="F2" s="3" t="s">
        <v>19</v>
      </c>
      <c r="G2" s="3" t="s">
        <v>20</v>
      </c>
      <c r="H2" s="3" t="s">
        <v>21</v>
      </c>
      <c r="I2" s="3" t="n">
        <v>3500</v>
      </c>
      <c r="J2" s="3" t="s">
        <v>22</v>
      </c>
      <c r="K2" s="3" t="s">
        <v>23</v>
      </c>
      <c r="L2" s="3"/>
      <c r="M2" s="3"/>
      <c r="N2" s="3" t="s">
        <v>24</v>
      </c>
      <c r="O2" s="3" t="s">
        <v>25</v>
      </c>
    </row>
    <row r="3" customFormat="false" ht="23.25" hidden="false" customHeight="true" outlineLevel="0" collapsed="false">
      <c r="A3" s="3" t="s">
        <v>26</v>
      </c>
      <c r="B3" s="3" t="s">
        <v>27</v>
      </c>
      <c r="C3" s="4" t="s">
        <v>17</v>
      </c>
      <c r="D3" s="3" t="n">
        <v>1</v>
      </c>
      <c r="E3" s="3" t="s">
        <v>28</v>
      </c>
      <c r="F3" s="3" t="s">
        <v>29</v>
      </c>
      <c r="G3" s="3" t="s">
        <v>30</v>
      </c>
      <c r="H3" s="3" t="s">
        <v>31</v>
      </c>
      <c r="I3" s="3" t="n">
        <v>4000</v>
      </c>
      <c r="J3" s="3" t="s">
        <v>32</v>
      </c>
      <c r="K3" s="3" t="s">
        <v>33</v>
      </c>
      <c r="L3" s="3"/>
      <c r="M3" s="3"/>
      <c r="N3" s="3" t="s">
        <v>34</v>
      </c>
      <c r="O3" s="3" t="s">
        <v>35</v>
      </c>
    </row>
    <row r="4" customFormat="false" ht="23.25" hidden="false" customHeight="true" outlineLevel="0" collapsed="false">
      <c r="A4" s="3" t="s">
        <v>36</v>
      </c>
      <c r="B4" s="3" t="s">
        <v>37</v>
      </c>
      <c r="C4" s="4" t="s">
        <v>17</v>
      </c>
      <c r="D4" s="3" t="n">
        <v>1</v>
      </c>
      <c r="E4" s="3" t="s">
        <v>38</v>
      </c>
      <c r="F4" s="3" t="s">
        <v>39</v>
      </c>
      <c r="G4" s="3" t="s">
        <v>40</v>
      </c>
      <c r="H4" s="3" t="s">
        <v>41</v>
      </c>
      <c r="I4" s="3" t="n">
        <v>9000</v>
      </c>
      <c r="J4" s="3" t="s">
        <v>42</v>
      </c>
      <c r="K4" s="3" t="s">
        <v>43</v>
      </c>
      <c r="L4" s="3"/>
      <c r="M4" s="3"/>
      <c r="N4" s="3" t="s">
        <v>44</v>
      </c>
      <c r="O4" s="3" t="s">
        <v>45</v>
      </c>
    </row>
    <row r="5" customFormat="false" ht="15" hidden="false" customHeight="true" outlineLevel="0" collapsed="false">
      <c r="A5" s="3" t="s">
        <v>46</v>
      </c>
      <c r="B5" s="3" t="s">
        <v>47</v>
      </c>
      <c r="C5" s="4" t="s">
        <v>17</v>
      </c>
      <c r="D5" s="3" t="n">
        <v>2</v>
      </c>
      <c r="E5" s="3" t="s">
        <v>48</v>
      </c>
      <c r="F5" s="3" t="s">
        <v>49</v>
      </c>
      <c r="G5" s="3" t="s">
        <v>50</v>
      </c>
      <c r="H5" s="3" t="s">
        <v>51</v>
      </c>
      <c r="I5" s="3" t="n">
        <v>8000</v>
      </c>
      <c r="J5" s="3" t="s">
        <v>52</v>
      </c>
      <c r="K5" s="3" t="s">
        <v>33</v>
      </c>
      <c r="L5" s="3"/>
      <c r="M5" s="3"/>
      <c r="N5" s="3" t="s">
        <v>53</v>
      </c>
      <c r="O5" s="3" t="s">
        <v>54</v>
      </c>
    </row>
    <row r="6" customFormat="false" ht="15" hidden="false" customHeight="true" outlineLevel="0" collapsed="false">
      <c r="A6" s="3" t="s">
        <v>55</v>
      </c>
      <c r="B6" s="3" t="s">
        <v>56</v>
      </c>
      <c r="C6" s="4" t="s">
        <v>17</v>
      </c>
      <c r="D6" s="3" t="n">
        <v>2</v>
      </c>
      <c r="E6" s="3" t="s">
        <v>57</v>
      </c>
      <c r="F6" s="3" t="s">
        <v>58</v>
      </c>
      <c r="G6" s="3" t="s">
        <v>59</v>
      </c>
      <c r="H6" s="3" t="s">
        <v>60</v>
      </c>
      <c r="I6" s="3" t="n">
        <v>5000</v>
      </c>
      <c r="J6" s="3" t="s">
        <v>61</v>
      </c>
      <c r="K6" s="3" t="s">
        <v>33</v>
      </c>
      <c r="L6" s="3"/>
      <c r="M6" s="3"/>
      <c r="N6" s="3" t="s">
        <v>53</v>
      </c>
      <c r="O6" s="3" t="s">
        <v>62</v>
      </c>
    </row>
    <row r="7" customFormat="false" ht="23.25" hidden="false" customHeight="true" outlineLevel="0" collapsed="false">
      <c r="A7" s="3" t="s">
        <v>63</v>
      </c>
      <c r="B7" s="3" t="s">
        <v>37</v>
      </c>
      <c r="C7" s="4" t="s">
        <v>17</v>
      </c>
      <c r="D7" s="3" t="n">
        <v>2</v>
      </c>
      <c r="E7" s="3" t="s">
        <v>64</v>
      </c>
      <c r="F7" s="3" t="s">
        <v>65</v>
      </c>
      <c r="G7" s="3" t="s">
        <v>66</v>
      </c>
      <c r="H7" s="3" t="s">
        <v>67</v>
      </c>
      <c r="I7" s="3" t="n">
        <v>9000</v>
      </c>
      <c r="J7" s="3" t="s">
        <v>68</v>
      </c>
      <c r="K7" s="3" t="s">
        <v>33</v>
      </c>
      <c r="L7" s="3"/>
      <c r="M7" s="3"/>
      <c r="N7" s="3" t="s">
        <v>53</v>
      </c>
      <c r="O7" s="3" t="s">
        <v>69</v>
      </c>
    </row>
    <row r="8" customFormat="false" ht="23.25" hidden="false" customHeight="true" outlineLevel="0" collapsed="false">
      <c r="A8" s="3" t="s">
        <v>70</v>
      </c>
      <c r="B8" s="3" t="s">
        <v>71</v>
      </c>
      <c r="C8" s="4" t="s">
        <v>17</v>
      </c>
      <c r="D8" s="3" t="n">
        <v>3</v>
      </c>
      <c r="E8" s="3" t="s">
        <v>72</v>
      </c>
      <c r="F8" s="3" t="s">
        <v>73</v>
      </c>
      <c r="G8" s="3" t="s">
        <v>74</v>
      </c>
      <c r="H8" s="3" t="s">
        <v>75</v>
      </c>
      <c r="I8" s="3" t="n">
        <v>4000</v>
      </c>
      <c r="J8" s="3" t="s">
        <v>76</v>
      </c>
      <c r="K8" s="3" t="s">
        <v>77</v>
      </c>
      <c r="L8" s="3"/>
      <c r="M8" s="3"/>
      <c r="N8" s="3" t="s">
        <v>53</v>
      </c>
      <c r="O8" s="3" t="s">
        <v>78</v>
      </c>
    </row>
    <row r="9" customFormat="false" ht="23.25" hidden="false" customHeight="true" outlineLevel="0" collapsed="false">
      <c r="A9" s="5" t="s">
        <v>79</v>
      </c>
      <c r="B9" s="5" t="s">
        <v>80</v>
      </c>
      <c r="C9" s="6" t="s">
        <v>81</v>
      </c>
      <c r="D9" s="5" t="n">
        <v>1</v>
      </c>
      <c r="E9" s="5" t="s">
        <v>82</v>
      </c>
      <c r="F9" s="5" t="s">
        <v>83</v>
      </c>
      <c r="G9" s="5" t="s">
        <v>84</v>
      </c>
      <c r="H9" s="5" t="s">
        <v>85</v>
      </c>
      <c r="I9" s="5" t="n">
        <v>18000</v>
      </c>
      <c r="J9" s="5" t="s">
        <v>86</v>
      </c>
      <c r="K9" s="5" t="s">
        <v>23</v>
      </c>
      <c r="L9" s="5"/>
      <c r="M9" s="5"/>
      <c r="N9" s="5" t="s">
        <v>87</v>
      </c>
      <c r="O9" s="5" t="s">
        <v>88</v>
      </c>
    </row>
    <row r="10" customFormat="false" ht="23.25" hidden="false" customHeight="true" outlineLevel="0" collapsed="false">
      <c r="A10" s="5" t="s">
        <v>89</v>
      </c>
      <c r="B10" s="5" t="s">
        <v>56</v>
      </c>
      <c r="C10" s="6" t="s">
        <v>81</v>
      </c>
      <c r="D10" s="5" t="n">
        <v>2</v>
      </c>
      <c r="E10" s="5" t="s">
        <v>90</v>
      </c>
      <c r="F10" s="5" t="s">
        <v>91</v>
      </c>
      <c r="G10" s="5" t="s">
        <v>92</v>
      </c>
      <c r="H10" s="5" t="s">
        <v>93</v>
      </c>
      <c r="I10" s="5" t="n">
        <v>15000</v>
      </c>
      <c r="J10" s="5" t="s">
        <v>94</v>
      </c>
      <c r="K10" s="5" t="s">
        <v>33</v>
      </c>
      <c r="L10" s="5"/>
      <c r="M10" s="5"/>
      <c r="N10" s="5" t="s">
        <v>53</v>
      </c>
      <c r="O10" s="5" t="s">
        <v>95</v>
      </c>
    </row>
    <row r="11" customFormat="false" ht="15" hidden="false" customHeight="true" outlineLevel="0" collapsed="false">
      <c r="A11" s="5" t="s">
        <v>96</v>
      </c>
      <c r="B11" s="5" t="s">
        <v>16</v>
      </c>
      <c r="C11" s="6" t="s">
        <v>81</v>
      </c>
      <c r="D11" s="5" t="n">
        <v>3</v>
      </c>
      <c r="E11" s="5" t="s">
        <v>97</v>
      </c>
      <c r="F11" s="5" t="s">
        <v>98</v>
      </c>
      <c r="G11" s="5" t="s">
        <v>99</v>
      </c>
      <c r="H11" s="5" t="s">
        <v>100</v>
      </c>
      <c r="I11" s="5" t="n">
        <v>18000</v>
      </c>
      <c r="J11" s="5" t="s">
        <v>101</v>
      </c>
      <c r="K11" s="5" t="s">
        <v>33</v>
      </c>
      <c r="L11" s="5"/>
      <c r="M11" s="5"/>
      <c r="N11" s="5" t="s">
        <v>53</v>
      </c>
      <c r="O11" s="5" t="s">
        <v>102</v>
      </c>
    </row>
    <row r="12" customFormat="false" ht="23.25" hidden="false" customHeight="true" outlineLevel="0" collapsed="false">
      <c r="A12" s="7" t="s">
        <v>103</v>
      </c>
      <c r="B12" s="7" t="s">
        <v>80</v>
      </c>
      <c r="C12" s="8" t="s">
        <v>104</v>
      </c>
      <c r="D12" s="7" t="n">
        <v>4</v>
      </c>
      <c r="E12" s="7" t="s">
        <v>105</v>
      </c>
      <c r="F12" s="7" t="s">
        <v>106</v>
      </c>
      <c r="G12" s="7" t="s">
        <v>107</v>
      </c>
      <c r="H12" s="7" t="s">
        <v>108</v>
      </c>
      <c r="I12" s="7" t="n">
        <v>3000</v>
      </c>
      <c r="J12" s="7" t="s">
        <v>109</v>
      </c>
      <c r="K12" s="7" t="s">
        <v>23</v>
      </c>
      <c r="L12" s="7"/>
      <c r="M12" s="7"/>
      <c r="N12" s="7" t="s">
        <v>110</v>
      </c>
      <c r="O12" s="7" t="s">
        <v>111</v>
      </c>
    </row>
    <row r="13" customFormat="false" ht="34.5" hidden="false" customHeight="true" outlineLevel="0" collapsed="false">
      <c r="A13" s="7" t="s">
        <v>112</v>
      </c>
      <c r="B13" s="7" t="s">
        <v>80</v>
      </c>
      <c r="C13" s="8" t="s">
        <v>104</v>
      </c>
      <c r="D13" s="7" t="n">
        <v>4</v>
      </c>
      <c r="E13" s="7" t="s">
        <v>113</v>
      </c>
      <c r="F13" s="7" t="s">
        <v>114</v>
      </c>
      <c r="G13" s="7" t="s">
        <v>115</v>
      </c>
      <c r="H13" s="7" t="s">
        <v>116</v>
      </c>
      <c r="I13" s="7" t="n">
        <v>3150</v>
      </c>
      <c r="J13" s="7" t="s">
        <v>117</v>
      </c>
      <c r="K13" s="7" t="s">
        <v>23</v>
      </c>
      <c r="L13" s="7"/>
      <c r="M13" s="7"/>
      <c r="N13" s="7" t="s">
        <v>118</v>
      </c>
      <c r="O13" s="7" t="s">
        <v>119</v>
      </c>
    </row>
    <row r="14" customFormat="false" ht="23.25" hidden="false" customHeight="true" outlineLevel="0" collapsed="false">
      <c r="A14" s="7" t="s">
        <v>120</v>
      </c>
      <c r="B14" s="7" t="s">
        <v>71</v>
      </c>
      <c r="C14" s="8" t="s">
        <v>104</v>
      </c>
      <c r="D14" s="7" t="n">
        <v>9</v>
      </c>
      <c r="E14" s="7" t="s">
        <v>121</v>
      </c>
      <c r="F14" s="7" t="s">
        <v>122</v>
      </c>
      <c r="G14" s="7" t="s">
        <v>123</v>
      </c>
      <c r="H14" s="7" t="s">
        <v>124</v>
      </c>
      <c r="I14" s="7" t="n">
        <v>3000</v>
      </c>
      <c r="J14" s="7" t="s">
        <v>125</v>
      </c>
      <c r="K14" s="7" t="s">
        <v>126</v>
      </c>
      <c r="L14" s="7"/>
      <c r="M14" s="7"/>
      <c r="N14" s="7" t="s">
        <v>127</v>
      </c>
      <c r="O14" s="7" t="s">
        <v>128</v>
      </c>
    </row>
    <row r="15" customFormat="false" ht="23.25" hidden="false" customHeight="true" outlineLevel="0" collapsed="false">
      <c r="A15" s="7" t="s">
        <v>129</v>
      </c>
      <c r="B15" s="7" t="s">
        <v>37</v>
      </c>
      <c r="C15" s="8" t="s">
        <v>104</v>
      </c>
      <c r="D15" s="7" t="n">
        <v>9</v>
      </c>
      <c r="E15" s="7" t="s">
        <v>130</v>
      </c>
      <c r="F15" s="7" t="s">
        <v>131</v>
      </c>
      <c r="G15" s="7" t="s">
        <v>132</v>
      </c>
      <c r="H15" s="7" t="s">
        <v>133</v>
      </c>
      <c r="I15" s="7" t="n">
        <v>3000</v>
      </c>
      <c r="J15" s="7" t="s">
        <v>134</v>
      </c>
      <c r="K15" s="7" t="s">
        <v>126</v>
      </c>
      <c r="L15" s="7"/>
      <c r="M15" s="7"/>
      <c r="N15" s="7" t="s">
        <v>127</v>
      </c>
      <c r="O15" s="7" t="s">
        <v>135</v>
      </c>
    </row>
    <row r="16" customFormat="false" ht="23.25" hidden="false" customHeight="true" outlineLevel="0" collapsed="false">
      <c r="A16" s="7" t="s">
        <v>136</v>
      </c>
      <c r="B16" s="7" t="s">
        <v>37</v>
      </c>
      <c r="C16" s="8" t="s">
        <v>104</v>
      </c>
      <c r="D16" s="7" t="n">
        <v>9</v>
      </c>
      <c r="E16" s="7" t="s">
        <v>137</v>
      </c>
      <c r="F16" s="7" t="s">
        <v>58</v>
      </c>
      <c r="G16" s="7" t="s">
        <v>138</v>
      </c>
      <c r="H16" s="7" t="s">
        <v>139</v>
      </c>
      <c r="I16" s="7" t="n">
        <v>3500</v>
      </c>
      <c r="J16" s="7" t="s">
        <v>140</v>
      </c>
      <c r="K16" s="7" t="s">
        <v>126</v>
      </c>
      <c r="L16" s="7"/>
      <c r="M16" s="7"/>
      <c r="N16" s="7" t="s">
        <v>127</v>
      </c>
      <c r="O16" s="7" t="s">
        <v>141</v>
      </c>
    </row>
    <row r="17" customFormat="false" ht="15" hidden="false" customHeight="true" outlineLevel="0" collapsed="false">
      <c r="A17" s="7" t="s">
        <v>142</v>
      </c>
      <c r="B17" s="7" t="s">
        <v>71</v>
      </c>
      <c r="C17" s="8" t="s">
        <v>104</v>
      </c>
      <c r="D17" s="7" t="n">
        <v>9</v>
      </c>
      <c r="E17" s="7" t="s">
        <v>143</v>
      </c>
      <c r="F17" s="7" t="s">
        <v>144</v>
      </c>
      <c r="G17" s="7" t="s">
        <v>145</v>
      </c>
      <c r="H17" s="7" t="s">
        <v>146</v>
      </c>
      <c r="I17" s="7" t="n">
        <v>0</v>
      </c>
      <c r="J17" s="7" t="s">
        <v>147</v>
      </c>
      <c r="K17" s="7" t="s">
        <v>126</v>
      </c>
      <c r="L17" s="7"/>
      <c r="M17" s="7"/>
      <c r="N17" s="7" t="s">
        <v>127</v>
      </c>
      <c r="O17" s="7" t="s">
        <v>148</v>
      </c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</cols>
  <sheetData>
    <row r="1" customFormat="false" ht="15" hidden="false" customHeight="true" outlineLevel="0" collapsed="false">
      <c r="A1" s="9" t="s">
        <v>149</v>
      </c>
    </row>
    <row r="3" customFormat="false" ht="15" hidden="false" customHeight="true" outlineLevel="0" collapsed="false">
      <c r="A3" s="10" t="s">
        <v>150</v>
      </c>
      <c r="B3" s="11" t="n">
        <f aca="false">COUNTA(Pipeline!A2:A17)</f>
        <v>16</v>
      </c>
    </row>
    <row r="4" customFormat="false" ht="15" hidden="false" customHeight="true" outlineLevel="0" collapsed="false">
      <c r="A4" s="10" t="s">
        <v>151</v>
      </c>
      <c r="B4" s="11" t="n">
        <f aca="false">COUNTIF(Pipeline!C2:C17,"A")</f>
        <v>7</v>
      </c>
    </row>
    <row r="5" customFormat="false" ht="15" hidden="false" customHeight="true" outlineLevel="0" collapsed="false">
      <c r="A5" s="10" t="s">
        <v>152</v>
      </c>
      <c r="B5" s="11" t="n">
        <f aca="false">COUNTIF(Pipeline!C2:C17,"B")</f>
        <v>3</v>
      </c>
    </row>
    <row r="6" customFormat="false" ht="15" hidden="false" customHeight="true" outlineLevel="0" collapsed="false">
      <c r="A6" s="10" t="s">
        <v>153</v>
      </c>
      <c r="B6" s="11" t="n">
        <f aca="false">COUNTIF(Pipeline!C2:C17,"C")</f>
        <v>6</v>
      </c>
    </row>
    <row r="7" customFormat="false" ht="15" hidden="false" customHeight="true" outlineLevel="0" collapsed="false">
      <c r="A7" s="10" t="s">
        <v>154</v>
      </c>
      <c r="B7" s="11" t="n">
        <v>5</v>
      </c>
    </row>
    <row r="8" customFormat="false" ht="15" hidden="false" customHeight="true" outlineLevel="0" collapsed="false">
      <c r="A8" s="10" t="s">
        <v>155</v>
      </c>
      <c r="B8" s="11" t="n">
        <v>3</v>
      </c>
    </row>
    <row r="11" customFormat="false" ht="15" hidden="false" customHeight="true" outlineLevel="0" collapsed="false">
      <c r="A11" s="12" t="s">
        <v>156</v>
      </c>
    </row>
    <row r="12" customFormat="false" ht="15" hidden="false" customHeight="true" outlineLevel="0" collapsed="false">
      <c r="A12" s="1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2026-06-22T13:45:44Z</dcterms:created>
  <dc:creator>openpyxl</dc:creator>
  <dc:description/>
  <dc:language>en-US</dc:language>
  <cp:lastModifiedBy/>
  <dcterms:modified xsi:type="dcterms:W3CDTF">2026-06-23T12:40:22Z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