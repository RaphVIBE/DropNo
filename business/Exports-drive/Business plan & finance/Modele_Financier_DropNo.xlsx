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èle" sheetId="1" state="visible" r:id="rId3"/>
    <sheet name="Besoin de financ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Drop No.</author>
  </authors>
  <commentList>
    <comment ref="B28" authorId="0">
      <text>
        <r>
          <rPr>
            <sz val="10"/>
            <rFont val="Arial"/>
            <family val="2"/>
          </rPr>
          <t xml:space="preserve">= commission (GMV × taux) + 5 € par vente. Acheteur 0 %.</t>
        </r>
      </text>
    </comment>
    <comment ref="B35" authorId="0">
      <text>
        <r>
          <rPr>
            <sz val="10"/>
            <rFont val="Arial"/>
            <family val="2"/>
          </rPr>
          <t xml:space="preserve">Marge brute = revenu plateforme moins coûts variables (paiement + KYC).</t>
        </r>
      </text>
    </comment>
    <comment ref="B44" authorId="0">
      <text>
        <r>
          <rPr>
            <sz val="10"/>
            <rFont val="Arial"/>
            <family val="2"/>
          </rPr>
          <t xml:space="preserve">EBITDA avant impôt, amortissements et charges financières.</t>
        </r>
      </text>
    </comment>
  </commentList>
</comments>
</file>

<file path=xl/sharedStrings.xml><?xml version="1.0" encoding="utf-8"?>
<sst xmlns="http://schemas.openxmlformats.org/spreadsheetml/2006/main" count="59" uniqueCount="57">
  <si>
    <t xml:space="preserve">DROP Nº  —  Modèle financier 3 ans</t>
  </si>
  <si>
    <t xml:space="preserve">Modifiez uniquement les cellules en bleu. Tous les résultats se recalculent automatiquement.</t>
  </si>
  <si>
    <t xml:space="preserve">Année 1</t>
  </si>
  <si>
    <t xml:space="preserve">Année 2</t>
  </si>
  <si>
    <t xml:space="preserve">Année 3</t>
  </si>
  <si>
    <t xml:space="preserve">HYPOTHÈSES D’ACTIVITÉ</t>
  </si>
  <si>
    <t xml:space="preserve">Drops dans l’année</t>
  </si>
  <si>
    <t xml:space="preserve">Pièces mises en vente par drop</t>
  </si>
  <si>
    <t xml:space="preserve">Taux d’écoulement</t>
  </si>
  <si>
    <t xml:space="preserve">Prix de clearing moyen</t>
  </si>
  <si>
    <t xml:space="preserve">Commission plateforme (% du clearing)</t>
  </si>
  <si>
    <t xml:space="preserve">Frais fixe par vente</t>
  </si>
  <si>
    <t xml:space="preserve">HYPOTHÈSES DE COÛTS</t>
  </si>
  <si>
    <t xml:space="preserve">Taux frais de paiement (% du GMV)</t>
  </si>
  <si>
    <t xml:space="preserve">Frais fixe paiement / transaction</t>
  </si>
  <si>
    <t xml:space="preserve">Coût KYC par vente</t>
  </si>
  <si>
    <t xml:space="preserve">Charges de personnel</t>
  </si>
  <si>
    <t xml:space="preserve">Marketing &amp; acquisition</t>
  </si>
  <si>
    <t xml:space="preserve">Infrastructure &amp; outils (par mois)</t>
  </si>
  <si>
    <t xml:space="preserve">Autres charges (compta, juridique, assurance)</t>
  </si>
  <si>
    <t xml:space="preserve">CHIFFRE D’AFFAIRES</t>
  </si>
  <si>
    <t xml:space="preserve">Pièces proposées sur l’année</t>
  </si>
  <si>
    <t xml:space="preserve">Ventes réalisées</t>
  </si>
  <si>
    <t xml:space="preserve">Volume d’affaires (GMV)</t>
  </si>
  <si>
    <t xml:space="preserve">Commission plateforme</t>
  </si>
  <si>
    <t xml:space="preserve">Revenu fixe (5 € × ventes)</t>
  </si>
  <si>
    <t xml:space="preserve">Revenu plateforme</t>
  </si>
  <si>
    <t xml:space="preserve">Take rate effectif (% du GMV)</t>
  </si>
  <si>
    <t xml:space="preserve">COÛTS VARIABLES &amp; MARGE BRUTE</t>
  </si>
  <si>
    <t xml:space="preserve">Frais de paiement</t>
  </si>
  <si>
    <t xml:space="preserve">KYC / vérification d’identité</t>
  </si>
  <si>
    <t xml:space="preserve">Total coûts variables</t>
  </si>
  <si>
    <t xml:space="preserve">Marge brute</t>
  </si>
  <si>
    <t xml:space="preserve">Marge brute (%)</t>
  </si>
  <si>
    <t xml:space="preserve">CHARGES DE STRUCTURE &amp; EBITDA</t>
  </si>
  <si>
    <t xml:space="preserve">Infrastructure (annuelle)</t>
  </si>
  <si>
    <t xml:space="preserve">Autres charges</t>
  </si>
  <si>
    <t xml:space="preserve">Total charges de structure</t>
  </si>
  <si>
    <t xml:space="preserve">EBITDA</t>
  </si>
  <si>
    <t xml:space="preserve">Marge EBITDA (%)</t>
  </si>
  <si>
    <t xml:space="preserve">EBITDA cumulé</t>
  </si>
  <si>
    <t xml:space="preserve">DROP Nº  —  Besoin de financement</t>
  </si>
  <si>
    <t xml:space="preserve">Cellules bleues modifiables. Le total se met à jour automatiquement.</t>
  </si>
  <si>
    <t xml:space="preserve">CHARGES FIXES MENSUELLES (phase de lancement)</t>
  </si>
  <si>
    <t xml:space="preserve">Infrastructure &amp; outils (Supabase, Vercel, PostHog, Resend…)</t>
  </si>
  <si>
    <t xml:space="preserve">Comptabilité, juridique, assurance RC pro</t>
  </si>
  <si>
    <t xml:space="preserve">Frais bancaires, KYC, divers</t>
  </si>
  <si>
    <t xml:space="preserve">Total mensuel</t>
  </si>
  <si>
    <t xml:space="preserve">Sur 12 mois</t>
  </si>
  <si>
    <t xml:space="preserve">DÉCOMPOSITION DU BESOIN DE FINANCEMENT</t>
  </si>
  <si>
    <t xml:space="preserve">Constitution et frais juridiques de lancement</t>
  </si>
  <si>
    <t xml:space="preserve">Trésorerie de fonctionnement (12 mois)</t>
  </si>
  <si>
    <t xml:space="preserve">Marketing et acquisition d’amorçage (année 1)</t>
  </si>
  <si>
    <t xml:space="preserve">Réserve de roulement et imprévus (rétractation 14 j)</t>
  </si>
  <si>
    <t xml:space="preserve">TOTAL BESOIN DE FINANCEMENT</t>
  </si>
  <si>
    <t xml:space="preserve">Note : la trésorerie de fonctionnement (ligne 13) est calculée à partir du bloc mensuel ci-dessus.</t>
  </si>
  <si>
    <t xml:space="preserve">Le revenu de l’année 1 couvre déjà les charges de l’année ; ce besoin finance le décalage de trésorerie au démarrage.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</si>
</sst>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;\-"/>
    <numFmt numFmtId="166" formatCode="0.0%"/>
    <numFmt numFmtId="167" formatCode="#,##0&quot; €&quot;;\(#,##0&quot;) €&quot;;\-"/>
    <numFmt numFmtId="168" formatCode="0.00%"/>
    <numFmt numFmtId="169" formatCode="#,##0.00&quot; €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2622"/>
      <name val="Arial"/>
      <family val="0"/>
      <charset val="1"/>
    </font>
    <font>
      <i val="true"/>
      <sz val="10"/>
      <color rgb="FF6B65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62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2B2622"/>
      <name val="Arial"/>
      <family val="0"/>
      <charset val="1"/>
    </font>
    <font>
      <sz val="10"/>
      <name val="Arial"/>
      <family val="2"/>
    </font>
    <font>
      <i val="true"/>
      <sz val="9"/>
      <color rgb="FF6B655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A7B33"/>
        <bgColor rgb="FF808080"/>
      </patternFill>
    </fill>
    <fill>
      <patternFill patternType="solid">
        <fgColor rgb="FF2B2622"/>
        <bgColor rgb="FF333300"/>
      </patternFill>
    </fill>
    <fill>
      <patternFill patternType="solid">
        <fgColor rgb="FFF2EC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9BD"/>
      </left>
      <right style="thin">
        <color rgb="FFCFC9BD"/>
      </right>
      <top style="thin">
        <color rgb="FFCFC9BD"/>
      </top>
      <bottom style="thin">
        <color rgb="FFCFC9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33"/>
      <rgbColor rgb="FF800080"/>
      <rgbColor rgb="FF008080"/>
      <rgbColor rgb="FFCFC9BD"/>
      <rgbColor rgb="FF808080"/>
      <rgbColor rgb="FF9999FF"/>
      <rgbColor rgb="FF993366"/>
      <rgbColor rgb="FFF2EC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6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4"/>
      <c r="C5" s="4"/>
      <c r="D5" s="4"/>
    </row>
    <row r="6" customFormat="false" ht="15" hidden="false" customHeight="false" outlineLevel="0" collapsed="false">
      <c r="A6" s="5" t="s">
        <v>6</v>
      </c>
      <c r="B6" s="6" t="n">
        <v>24</v>
      </c>
      <c r="C6" s="6" t="n">
        <v>46</v>
      </c>
      <c r="D6" s="6" t="n">
        <v>50</v>
      </c>
    </row>
    <row r="7" customFormat="false" ht="15" hidden="false" customHeight="false" outlineLevel="0" collapsed="false">
      <c r="A7" s="5" t="s">
        <v>7</v>
      </c>
      <c r="B7" s="6" t="n">
        <v>4</v>
      </c>
      <c r="C7" s="6" t="n">
        <v>6</v>
      </c>
      <c r="D7" s="6" t="n">
        <v>9</v>
      </c>
    </row>
    <row r="8" customFormat="false" ht="15" hidden="false" customHeight="false" outlineLevel="0" collapsed="false">
      <c r="A8" s="5" t="s">
        <v>8</v>
      </c>
      <c r="B8" s="7" t="n">
        <v>0.78</v>
      </c>
      <c r="C8" s="7" t="n">
        <v>0.85</v>
      </c>
      <c r="D8" s="7" t="n">
        <v>0.88</v>
      </c>
    </row>
    <row r="9" customFormat="false" ht="15" hidden="false" customHeight="false" outlineLevel="0" collapsed="false">
      <c r="A9" s="5" t="s">
        <v>9</v>
      </c>
      <c r="B9" s="8" t="n">
        <v>4500</v>
      </c>
      <c r="C9" s="8" t="n">
        <v>5500</v>
      </c>
      <c r="D9" s="8" t="n">
        <v>6500</v>
      </c>
    </row>
    <row r="10" customFormat="false" ht="15" hidden="false" customHeight="false" outlineLevel="0" collapsed="false">
      <c r="A10" s="5" t="s">
        <v>10</v>
      </c>
      <c r="B10" s="7" t="n">
        <v>0.12</v>
      </c>
      <c r="C10" s="7" t="n">
        <v>0.12</v>
      </c>
      <c r="D10" s="7" t="n">
        <v>0.12</v>
      </c>
    </row>
    <row r="11" customFormat="false" ht="15" hidden="false" customHeight="false" outlineLevel="0" collapsed="false">
      <c r="A11" s="5" t="s">
        <v>11</v>
      </c>
      <c r="B11" s="8" t="n">
        <v>5</v>
      </c>
      <c r="C11" s="8" t="n">
        <v>5</v>
      </c>
      <c r="D11" s="8" t="n">
        <v>5</v>
      </c>
    </row>
    <row r="13" customFormat="false" ht="15" hidden="false" customHeight="false" outlineLevel="0" collapsed="false">
      <c r="A13" s="4" t="s">
        <v>12</v>
      </c>
      <c r="B13" s="4"/>
      <c r="C13" s="4"/>
      <c r="D13" s="4"/>
    </row>
    <row r="14" customFormat="false" ht="15" hidden="false" customHeight="false" outlineLevel="0" collapsed="false">
      <c r="A14" s="5" t="s">
        <v>13</v>
      </c>
      <c r="B14" s="9" t="n">
        <v>0.014</v>
      </c>
      <c r="C14" s="9" t="n">
        <v>0.014</v>
      </c>
      <c r="D14" s="9" t="n">
        <v>0.014</v>
      </c>
    </row>
    <row r="15" customFormat="false" ht="15" hidden="false" customHeight="false" outlineLevel="0" collapsed="false">
      <c r="A15" s="5" t="s">
        <v>14</v>
      </c>
      <c r="B15" s="10" t="n">
        <v>0.25</v>
      </c>
      <c r="C15" s="10" t="n">
        <v>0.25</v>
      </c>
      <c r="D15" s="10" t="n">
        <v>0.25</v>
      </c>
    </row>
    <row r="16" customFormat="false" ht="15" hidden="false" customHeight="false" outlineLevel="0" collapsed="false">
      <c r="A16" s="5" t="s">
        <v>15</v>
      </c>
      <c r="B16" s="10" t="n">
        <v>1.8</v>
      </c>
      <c r="C16" s="10" t="n">
        <v>1.8</v>
      </c>
      <c r="D16" s="10" t="n">
        <v>1.8</v>
      </c>
    </row>
    <row r="17" customFormat="false" ht="15" hidden="false" customHeight="false" outlineLevel="0" collapsed="false">
      <c r="A17" s="5" t="s">
        <v>16</v>
      </c>
      <c r="B17" s="8" t="n">
        <v>0</v>
      </c>
      <c r="C17" s="8" t="n">
        <v>48000</v>
      </c>
      <c r="D17" s="8" t="n">
        <v>110000</v>
      </c>
    </row>
    <row r="18" customFormat="false" ht="15" hidden="false" customHeight="false" outlineLevel="0" collapsed="false">
      <c r="A18" s="5" t="s">
        <v>17</v>
      </c>
      <c r="B18" s="8" t="n">
        <v>15000</v>
      </c>
      <c r="C18" s="8" t="n">
        <v>40000</v>
      </c>
      <c r="D18" s="8" t="n">
        <v>70000</v>
      </c>
    </row>
    <row r="19" customFormat="false" ht="15" hidden="false" customHeight="false" outlineLevel="0" collapsed="false">
      <c r="A19" s="5" t="s">
        <v>18</v>
      </c>
      <c r="B19" s="8" t="n">
        <v>450</v>
      </c>
      <c r="C19" s="8" t="n">
        <v>700</v>
      </c>
      <c r="D19" s="8" t="n">
        <v>1000</v>
      </c>
    </row>
    <row r="20" customFormat="false" ht="15" hidden="false" customHeight="false" outlineLevel="0" collapsed="false">
      <c r="A20" s="5" t="s">
        <v>19</v>
      </c>
      <c r="B20" s="8" t="n">
        <v>12000</v>
      </c>
      <c r="C20" s="8" t="n">
        <v>22000</v>
      </c>
      <c r="D20" s="8" t="n">
        <v>32000</v>
      </c>
    </row>
    <row r="22" customFormat="false" ht="15" hidden="false" customHeight="false" outlineLevel="0" collapsed="false">
      <c r="A22" s="4" t="s">
        <v>20</v>
      </c>
      <c r="B22" s="4"/>
      <c r="C22" s="4"/>
      <c r="D22" s="4"/>
    </row>
    <row r="23" customFormat="false" ht="15" hidden="false" customHeight="false" outlineLevel="0" collapsed="false">
      <c r="A23" s="5" t="s">
        <v>21</v>
      </c>
      <c r="B23" s="11" t="n">
        <f aca="false">B6*B7</f>
        <v>96</v>
      </c>
      <c r="C23" s="11" t="n">
        <f aca="false">C6*C7</f>
        <v>276</v>
      </c>
      <c r="D23" s="11" t="n">
        <f aca="false">D6*D7</f>
        <v>450</v>
      </c>
    </row>
    <row r="24" customFormat="false" ht="15" hidden="false" customHeight="false" outlineLevel="0" collapsed="false">
      <c r="A24" s="5" t="s">
        <v>22</v>
      </c>
      <c r="B24" s="11" t="n">
        <f aca="false">ROUND(B23*B8,0)</f>
        <v>75</v>
      </c>
      <c r="C24" s="11" t="n">
        <f aca="false">ROUND(C23*C8,0)</f>
        <v>235</v>
      </c>
      <c r="D24" s="11" t="n">
        <f aca="false">ROUND(D23*D8,0)</f>
        <v>396</v>
      </c>
    </row>
    <row r="25" customFormat="false" ht="15" hidden="false" customHeight="false" outlineLevel="0" collapsed="false">
      <c r="A25" s="5" t="s">
        <v>23</v>
      </c>
      <c r="B25" s="12" t="n">
        <f aca="false">B24*B9</f>
        <v>337500</v>
      </c>
      <c r="C25" s="12" t="n">
        <f aca="false">C24*C9</f>
        <v>1292500</v>
      </c>
      <c r="D25" s="12" t="n">
        <f aca="false">D24*D9</f>
        <v>2574000</v>
      </c>
    </row>
    <row r="26" customFormat="false" ht="15" hidden="false" customHeight="false" outlineLevel="0" collapsed="false">
      <c r="A26" s="5" t="s">
        <v>24</v>
      </c>
      <c r="B26" s="12" t="n">
        <f aca="false">B25*B10</f>
        <v>40500</v>
      </c>
      <c r="C26" s="12" t="n">
        <f aca="false">C25*C10</f>
        <v>155100</v>
      </c>
      <c r="D26" s="12" t="n">
        <f aca="false">D25*D10</f>
        <v>308880</v>
      </c>
    </row>
    <row r="27" customFormat="false" ht="15" hidden="false" customHeight="false" outlineLevel="0" collapsed="false">
      <c r="A27" s="5" t="s">
        <v>25</v>
      </c>
      <c r="B27" s="12" t="n">
        <f aca="false">B24*B11</f>
        <v>375</v>
      </c>
      <c r="C27" s="12" t="n">
        <f aca="false">C24*C11</f>
        <v>1175</v>
      </c>
      <c r="D27" s="12" t="n">
        <f aca="false">D24*D11</f>
        <v>1980</v>
      </c>
    </row>
    <row r="28" customFormat="false" ht="15" hidden="false" customHeight="false" outlineLevel="0" collapsed="false">
      <c r="A28" s="13" t="s">
        <v>26</v>
      </c>
      <c r="B28" s="14" t="n">
        <f aca="false">B26+B27</f>
        <v>40875</v>
      </c>
      <c r="C28" s="14" t="n">
        <f aca="false">C26+C27</f>
        <v>156275</v>
      </c>
      <c r="D28" s="14" t="n">
        <f aca="false">D26+D27</f>
        <v>310860</v>
      </c>
    </row>
    <row r="29" customFormat="false" ht="15" hidden="false" customHeight="false" outlineLevel="0" collapsed="false">
      <c r="A29" s="5" t="s">
        <v>27</v>
      </c>
      <c r="B29" s="15" t="n">
        <f aca="false">B28/B25</f>
        <v>0.121111111111111</v>
      </c>
      <c r="C29" s="15" t="n">
        <f aca="false">C28/C25</f>
        <v>0.120909090909091</v>
      </c>
      <c r="D29" s="15" t="n">
        <f aca="false">D28/D25</f>
        <v>0.120769230769231</v>
      </c>
    </row>
    <row r="31" customFormat="false" ht="15" hidden="false" customHeight="false" outlineLevel="0" collapsed="false">
      <c r="A31" s="4" t="s">
        <v>28</v>
      </c>
      <c r="B31" s="4"/>
      <c r="C31" s="4"/>
      <c r="D31" s="4"/>
    </row>
    <row r="32" customFormat="false" ht="15" hidden="false" customHeight="false" outlineLevel="0" collapsed="false">
      <c r="A32" s="5" t="s">
        <v>29</v>
      </c>
      <c r="B32" s="12" t="n">
        <f aca="false">B25*B14+B24*B15</f>
        <v>4743.75</v>
      </c>
      <c r="C32" s="12" t="n">
        <f aca="false">C25*C14+C24*C15</f>
        <v>18153.75</v>
      </c>
      <c r="D32" s="12" t="n">
        <f aca="false">D25*D14+D24*D15</f>
        <v>36135</v>
      </c>
    </row>
    <row r="33" customFormat="false" ht="15" hidden="false" customHeight="false" outlineLevel="0" collapsed="false">
      <c r="A33" s="5" t="s">
        <v>30</v>
      </c>
      <c r="B33" s="12" t="n">
        <f aca="false">B24*B16</f>
        <v>135</v>
      </c>
      <c r="C33" s="12" t="n">
        <f aca="false">C24*C16</f>
        <v>423</v>
      </c>
      <c r="D33" s="12" t="n">
        <f aca="false">D24*D16</f>
        <v>712.8</v>
      </c>
    </row>
    <row r="34" customFormat="false" ht="15" hidden="false" customHeight="false" outlineLevel="0" collapsed="false">
      <c r="A34" s="5" t="s">
        <v>31</v>
      </c>
      <c r="B34" s="12" t="n">
        <f aca="false">B32+B33</f>
        <v>4878.75</v>
      </c>
      <c r="C34" s="12" t="n">
        <f aca="false">C32+C33</f>
        <v>18576.75</v>
      </c>
      <c r="D34" s="12" t="n">
        <f aca="false">D32+D33</f>
        <v>36847.8</v>
      </c>
    </row>
    <row r="35" customFormat="false" ht="15" hidden="false" customHeight="false" outlineLevel="0" collapsed="false">
      <c r="A35" s="13" t="s">
        <v>32</v>
      </c>
      <c r="B35" s="14" t="n">
        <f aca="false">B28-B34</f>
        <v>35996.25</v>
      </c>
      <c r="C35" s="14" t="n">
        <f aca="false">C28-C34</f>
        <v>137698.25</v>
      </c>
      <c r="D35" s="14" t="n">
        <f aca="false">D28-D34</f>
        <v>274012.2</v>
      </c>
    </row>
    <row r="36" customFormat="false" ht="15" hidden="false" customHeight="false" outlineLevel="0" collapsed="false">
      <c r="A36" s="5" t="s">
        <v>33</v>
      </c>
      <c r="B36" s="15" t="n">
        <f aca="false">B35/B28</f>
        <v>0.880642201834862</v>
      </c>
      <c r="C36" s="15" t="n">
        <f aca="false">C35/C28</f>
        <v>0.881127819548872</v>
      </c>
      <c r="D36" s="15" t="n">
        <f aca="false">D35/D28</f>
        <v>0.881464968152866</v>
      </c>
    </row>
    <row r="38" customFormat="false" ht="15" hidden="false" customHeight="false" outlineLevel="0" collapsed="false">
      <c r="A38" s="4" t="s">
        <v>34</v>
      </c>
      <c r="B38" s="4"/>
      <c r="C38" s="4"/>
      <c r="D38" s="4"/>
    </row>
    <row r="39" customFormat="false" ht="15" hidden="false" customHeight="false" outlineLevel="0" collapsed="false">
      <c r="A39" s="5" t="s">
        <v>35</v>
      </c>
      <c r="B39" s="12" t="n">
        <f aca="false">B19*12</f>
        <v>5400</v>
      </c>
      <c r="C39" s="12" t="n">
        <f aca="false">C19*12</f>
        <v>8400</v>
      </c>
      <c r="D39" s="12" t="n">
        <f aca="false">D19*12</f>
        <v>12000</v>
      </c>
    </row>
    <row r="40" customFormat="false" ht="15" hidden="false" customHeight="false" outlineLevel="0" collapsed="false">
      <c r="A40" s="5" t="s">
        <v>16</v>
      </c>
      <c r="B40" s="12" t="n">
        <f aca="false">B17</f>
        <v>0</v>
      </c>
      <c r="C40" s="12" t="n">
        <f aca="false">C17</f>
        <v>48000</v>
      </c>
      <c r="D40" s="12" t="n">
        <f aca="false">D17</f>
        <v>110000</v>
      </c>
    </row>
    <row r="41" customFormat="false" ht="15" hidden="false" customHeight="false" outlineLevel="0" collapsed="false">
      <c r="A41" s="5" t="s">
        <v>17</v>
      </c>
      <c r="B41" s="12" t="n">
        <f aca="false">B18</f>
        <v>15000</v>
      </c>
      <c r="C41" s="12" t="n">
        <f aca="false">C18</f>
        <v>40000</v>
      </c>
      <c r="D41" s="12" t="n">
        <f aca="false">D18</f>
        <v>70000</v>
      </c>
    </row>
    <row r="42" customFormat="false" ht="15" hidden="false" customHeight="false" outlineLevel="0" collapsed="false">
      <c r="A42" s="5" t="s">
        <v>36</v>
      </c>
      <c r="B42" s="12" t="n">
        <f aca="false">B20</f>
        <v>12000</v>
      </c>
      <c r="C42" s="12" t="n">
        <f aca="false">C20</f>
        <v>22000</v>
      </c>
      <c r="D42" s="12" t="n">
        <f aca="false">D20</f>
        <v>32000</v>
      </c>
    </row>
    <row r="43" customFormat="false" ht="15" hidden="false" customHeight="false" outlineLevel="0" collapsed="false">
      <c r="A43" s="5" t="s">
        <v>37</v>
      </c>
      <c r="B43" s="12" t="n">
        <f aca="false">SUM(B39:B42)</f>
        <v>32400</v>
      </c>
      <c r="C43" s="12" t="n">
        <f aca="false">SUM(C39:C42)</f>
        <v>118400</v>
      </c>
      <c r="D43" s="12" t="n">
        <f aca="false">SUM(D39:D42)</f>
        <v>224000</v>
      </c>
    </row>
    <row r="44" customFormat="false" ht="15" hidden="false" customHeight="false" outlineLevel="0" collapsed="false">
      <c r="A44" s="13" t="s">
        <v>38</v>
      </c>
      <c r="B44" s="14" t="n">
        <f aca="false">B35-B43</f>
        <v>3596.25</v>
      </c>
      <c r="C44" s="14" t="n">
        <f aca="false">C35-C43</f>
        <v>19298.25</v>
      </c>
      <c r="D44" s="14" t="n">
        <f aca="false">D35-D43</f>
        <v>50012.2</v>
      </c>
    </row>
    <row r="45" customFormat="false" ht="15" hidden="false" customHeight="false" outlineLevel="0" collapsed="false">
      <c r="A45" s="5" t="s">
        <v>39</v>
      </c>
      <c r="B45" s="15" t="n">
        <f aca="false">B44/B28</f>
        <v>0.0879816513761468</v>
      </c>
      <c r="C45" s="15" t="n">
        <f aca="false">C44/C28</f>
        <v>0.123489041753319</v>
      </c>
      <c r="D45" s="15" t="n">
        <f aca="false">D44/D28</f>
        <v>0.160883355851509</v>
      </c>
    </row>
    <row r="46" customFormat="false" ht="15" hidden="false" customHeight="false" outlineLevel="0" collapsed="false">
      <c r="A46" s="13" t="s">
        <v>40</v>
      </c>
      <c r="B46" s="16" t="n">
        <f aca="false">B44</f>
        <v>3596.25</v>
      </c>
      <c r="C46" s="16" t="n">
        <f aca="false">B46+C44</f>
        <v>22894.5</v>
      </c>
      <c r="D46" s="16" t="n">
        <f aca="false">C46+D44</f>
        <v>72906.7</v>
      </c>
    </row>
  </sheetData>
  <mergeCells count="5">
    <mergeCell ref="A5:D5"/>
    <mergeCell ref="A13:D13"/>
    <mergeCell ref="A22:D22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17" t="s">
        <v>43</v>
      </c>
      <c r="B4" s="17"/>
    </row>
    <row r="5" customFormat="false" ht="15" hidden="false" customHeight="false" outlineLevel="0" collapsed="false">
      <c r="A5" s="18" t="s">
        <v>44</v>
      </c>
      <c r="B5" s="8" t="n">
        <v>450</v>
      </c>
    </row>
    <row r="6" customFormat="false" ht="15" hidden="false" customHeight="false" outlineLevel="0" collapsed="false">
      <c r="A6" s="18" t="s">
        <v>45</v>
      </c>
      <c r="B6" s="8" t="n">
        <v>1000</v>
      </c>
    </row>
    <row r="7" customFormat="false" ht="15" hidden="false" customHeight="false" outlineLevel="0" collapsed="false">
      <c r="A7" s="18" t="s">
        <v>46</v>
      </c>
      <c r="B7" s="8" t="n">
        <v>200</v>
      </c>
    </row>
    <row r="8" customFormat="false" ht="15" hidden="false" customHeight="false" outlineLevel="0" collapsed="false">
      <c r="A8" s="19" t="s">
        <v>47</v>
      </c>
      <c r="B8" s="14" t="n">
        <f aca="false">SUM(B5:B7)</f>
        <v>1650</v>
      </c>
    </row>
    <row r="9" customFormat="false" ht="15" hidden="false" customHeight="false" outlineLevel="0" collapsed="false">
      <c r="A9" s="20" t="s">
        <v>48</v>
      </c>
      <c r="B9" s="12" t="n">
        <f aca="false">B8*12</f>
        <v>19800</v>
      </c>
    </row>
    <row r="11" customFormat="false" ht="15" hidden="false" customHeight="false" outlineLevel="0" collapsed="false">
      <c r="A11" s="17" t="s">
        <v>49</v>
      </c>
      <c r="B11" s="17"/>
    </row>
    <row r="12" customFormat="false" ht="15" hidden="false" customHeight="false" outlineLevel="0" collapsed="false">
      <c r="A12" s="18" t="s">
        <v>50</v>
      </c>
      <c r="B12" s="8" t="n">
        <v>3500</v>
      </c>
    </row>
    <row r="13" customFormat="false" ht="15" hidden="false" customHeight="false" outlineLevel="0" collapsed="false">
      <c r="A13" s="18" t="s">
        <v>51</v>
      </c>
      <c r="B13" s="12" t="n">
        <f aca="false">B9</f>
        <v>19800</v>
      </c>
    </row>
    <row r="14" customFormat="false" ht="15" hidden="false" customHeight="false" outlineLevel="0" collapsed="false">
      <c r="A14" s="18" t="s">
        <v>52</v>
      </c>
      <c r="B14" s="8" t="n">
        <v>15000</v>
      </c>
    </row>
    <row r="15" customFormat="false" ht="15" hidden="false" customHeight="false" outlineLevel="0" collapsed="false">
      <c r="A15" s="18" t="s">
        <v>53</v>
      </c>
      <c r="B15" s="8" t="n">
        <v>11500</v>
      </c>
    </row>
    <row r="16" customFormat="false" ht="15" hidden="false" customHeight="false" outlineLevel="0" collapsed="false">
      <c r="A16" s="19" t="s">
        <v>54</v>
      </c>
      <c r="B16" s="14" t="n">
        <f aca="false">B12+B13+B14+B15</f>
        <v>49800</v>
      </c>
    </row>
    <row r="18" customFormat="false" ht="15" hidden="false" customHeight="false" outlineLevel="0" collapsed="false">
      <c r="A18" s="21" t="s">
        <v>55</v>
      </c>
    </row>
    <row r="19" customFormat="false" ht="15" hidden="false" customHeight="false" outlineLevel="0" collapsed="false">
      <c r="A19" s="21" t="s">
        <v>56</v>
      </c>
    </row>
  </sheetData>
  <mergeCells count="2">
    <mergeCell ref="A4:B4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2026-06-18T07:45:04Z</dcterms:created>
  <dc:creator>openpyxl</dc:creator>
  <dc:description/>
  <dc:language>en-US</dc:language>
  <cp:lastModifiedBy/>
  <dcterms:modified xsi:type="dcterms:W3CDTF">2026-06-18T07:45:04Z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