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ipeline" sheetId="1" state="visible" r:id="rId1"/>
    <sheet name="Synthèse" sheetId="2" state="visible" r:id="rId2"/>
  </sheets>
  <definedNames>
    <definedName name="_xlnm._FilterDatabase" localSheetId="0" hidden="1">'Pipeline'!$A$1:$O$17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8A6D3B"/>
      <sz val="10"/>
    </font>
    <font>
      <name val="Arial"/>
      <charset val="1"/>
      <family val="0"/>
      <b val="1"/>
      <color rgb="FF1A1A14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A6D3B"/>
      <sz val="9"/>
    </font>
  </fonts>
  <fills count="6">
    <fill>
      <patternFill/>
    </fill>
    <fill>
      <patternFill patternType="gray125"/>
    </fill>
    <fill>
      <patternFill patternType="solid">
        <fgColor rgb="FF1A1A14"/>
        <bgColor rgb="FF003300"/>
      </patternFill>
    </fill>
    <fill>
      <patternFill patternType="solid">
        <fgColor rgb="FFEFE7D7"/>
        <bgColor rgb="FFF7F5F0"/>
      </patternFill>
    </fill>
    <fill>
      <patternFill patternType="solid">
        <fgColor rgb="FFF7F5F0"/>
        <bgColor rgb="FFFFFFFF"/>
      </patternFill>
    </fill>
    <fill>
      <patternFill patternType="solid">
        <fgColor rgb="FFFFFFFF"/>
        <bgColor rgb="FFF7F5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2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A1A14"/>
          <bgColor rgb="FF000000"/>
        </patternFill>
      </fill>
    </dxf>
    <dxf>
      <fill>
        <patternFill patternType="solid">
          <fgColor rgb="FFEFE7D7"/>
          <bgColor rgb="FF000000"/>
        </patternFill>
      </fill>
    </dxf>
    <dxf>
      <fill>
        <patternFill patternType="solid">
          <fgColor rgb="FFF7F5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6D3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D6D2C7"/>
      <rgbColor rgb="FF808080"/>
      <rgbColor rgb="FF9999FF"/>
      <rgbColor rgb="FF993366"/>
      <rgbColor rgb="FFF7F5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4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3" min="1" max="1"/>
    <col width="12" customWidth="1" style="13" min="2" max="2"/>
    <col width="5" customWidth="1" style="13" min="3" max="3"/>
    <col width="8" customWidth="1" style="13" min="4" max="4"/>
    <col width="26" customWidth="1" style="13" min="5" max="5"/>
    <col width="24" customWidth="1" style="13" min="6" max="6"/>
    <col width="15" customWidth="1" style="13" min="7" max="7"/>
    <col width="30" customWidth="1" style="13" min="8" max="8"/>
    <col width="12" customWidth="1" style="13" min="9" max="9"/>
    <col width="40" customWidth="1" style="13" min="10" max="10"/>
    <col width="20" customWidth="1" style="13" min="11" max="11"/>
    <col width="11" customWidth="1" style="13" min="12" max="12"/>
    <col width="12" customWidth="1" style="13" min="13" max="13"/>
    <col width="30" customWidth="1" style="13" min="14" max="14"/>
    <col width="40" customWidth="1" style="13" min="15" max="15"/>
  </cols>
  <sheetData>
    <row r="1" ht="21.75" customHeight="1" s="14">
      <c r="A1" s="15" t="inlineStr">
        <is>
          <t>Maison</t>
        </is>
      </c>
      <c r="B1" s="15" t="inlineStr">
        <is>
          <t>Pays</t>
        </is>
      </c>
      <c r="C1" s="15" t="inlineStr">
        <is>
          <t>Tier</t>
        </is>
      </c>
      <c r="D1" s="15" t="inlineStr">
        <is>
          <t>Priorité</t>
        </is>
      </c>
      <c r="E1" s="15" t="inlineStr">
        <is>
          <t>Contact</t>
        </is>
      </c>
      <c r="F1" s="15" t="inlineStr">
        <is>
          <t>Canal</t>
        </is>
      </c>
      <c r="G1" s="15" t="inlineStr">
        <is>
          <t>Gamme prix (€)</t>
        </is>
      </c>
      <c r="H1" s="15" t="inlineStr">
        <is>
          <t>Drop type proposé</t>
        </is>
      </c>
      <c r="I1" s="15" t="inlineStr">
        <is>
          <t>Plancher cible (€)</t>
        </is>
      </c>
      <c r="J1" s="15" t="inlineStr">
        <is>
          <t>Angle</t>
        </is>
      </c>
      <c r="K1" s="15" t="inlineStr">
        <is>
          <t>Statut</t>
        </is>
      </c>
      <c r="L1" s="15" t="inlineStr">
        <is>
          <t>1er contact</t>
        </is>
      </c>
      <c r="M1" s="15" t="inlineStr">
        <is>
          <t>Relance (J+8)</t>
        </is>
      </c>
      <c r="N1" s="15" t="inlineStr">
        <is>
          <t>Démo / Fiche</t>
        </is>
      </c>
      <c r="O1" s="15" t="inlineStr">
        <is>
          <t>Notes</t>
        </is>
      </c>
    </row>
    <row r="2" ht="23.25" customHeight="1" s="14">
      <c r="A2" s="16" t="inlineStr">
        <is>
          <t>Furlan Marri</t>
        </is>
      </c>
      <c r="B2" s="16" t="inlineStr">
        <is>
          <t>Suisse</t>
        </is>
      </c>
      <c r="C2" s="17" t="inlineStr">
        <is>
          <t>A</t>
        </is>
      </c>
      <c r="D2" s="16" t="n">
        <v>1</v>
      </c>
      <c r="E2" s="16" t="inlineStr">
        <is>
          <t>Andrea Furlan &amp; Hamad Al Marri</t>
        </is>
      </c>
      <c r="F2" s="16" t="inlineStr">
        <is>
          <t>info@furlanmarri.com + DM IG</t>
        </is>
      </c>
      <c r="G2" s="16" t="inlineStr">
        <is>
          <t>2 500–15 000</t>
        </is>
      </c>
      <c r="H2" s="16" t="inlineStr">
        <is>
          <t>Chrono méca / capsule, 8-12 ex.</t>
        </is>
      </c>
      <c r="I2" s="16" t="n">
        <v>3500</v>
      </c>
      <c r="J2" s="16" t="inlineStr">
        <is>
          <t>Course au F5, spread laissé aux flippers</t>
        </is>
      </c>
      <c r="K2" s="16" t="inlineStr">
        <is>
          <t>Email + démo prêts</t>
        </is>
      </c>
      <c r="L2" s="16" t="n"/>
      <c r="M2" s="16" t="n"/>
      <c r="N2" s="16" t="inlineStr">
        <is>
          <t>/demo/furlan-marri · email_furlan_marri.md</t>
        </is>
      </c>
      <c r="O2" s="16" t="inlineStr">
        <is>
          <t>Intro possible via W. Massena</t>
        </is>
      </c>
    </row>
    <row r="3" ht="23.25" customHeight="1" s="14">
      <c r="A3" s="16" t="inlineStr">
        <is>
          <t>Atelier Wen</t>
        </is>
      </c>
      <c r="B3" s="16" t="inlineStr">
        <is>
          <t>France/Chine</t>
        </is>
      </c>
      <c r="C3" s="17" t="inlineStr">
        <is>
          <t>A</t>
        </is>
      </c>
      <c r="D3" s="16" t="n">
        <v>1</v>
      </c>
      <c r="E3" s="16" t="inlineStr">
        <is>
          <t>Robin Tallendier &amp; Wilfried Buiron</t>
        </is>
      </c>
      <c r="F3" s="16" t="inlineStr">
        <is>
          <t>Site + LinkedIn (R. Tallendier)</t>
        </is>
      </c>
      <c r="G3" s="16" t="inlineStr">
        <is>
          <t>4 000–6 000</t>
        </is>
      </c>
      <c r="H3" s="16" t="inlineStr">
        <is>
          <t>Perception cadran exclusif, 10-20 ex.</t>
        </is>
      </c>
      <c r="I3" s="16" t="n">
        <v>4000</v>
      </c>
      <c r="J3" s="16" t="inlineStr">
        <is>
          <t>Éditions 50-100 ex. sold out en heures à prix fixe</t>
        </is>
      </c>
      <c r="K3" s="16" t="inlineStr">
        <is>
          <t>Email .md pret</t>
        </is>
      </c>
      <c r="L3" s="16" t="n"/>
      <c r="M3" s="16" t="n"/>
      <c r="N3" s="16" t="inlineStr">
        <is>
          <t>email_atelier_wen.md (demo a generer)</t>
        </is>
      </c>
      <c r="O3" s="16" t="inlineStr">
        <is>
          <t>Guillochage main Cheng Yucai. Email pret (email_atelier_wen.md). Destinataire (R. Tallendier / W. Buiron) a confirmer. Demo a generer (slug atelier-wen).</t>
        </is>
      </c>
    </row>
    <row r="4" ht="23.25" customHeight="1" s="14">
      <c r="A4" s="16" t="inlineStr">
        <is>
          <t>Trilobe</t>
        </is>
      </c>
      <c r="B4" s="16" t="inlineStr">
        <is>
          <t>France</t>
        </is>
      </c>
      <c r="C4" s="17" t="inlineStr">
        <is>
          <t>A</t>
        </is>
      </c>
      <c r="D4" s="16" t="n">
        <v>1</v>
      </c>
      <c r="E4" s="16" t="inlineStr">
        <is>
          <t>Gautier Massonneau</t>
        </is>
      </c>
      <c r="F4" s="16" t="inlineStr">
        <is>
          <t>LinkedIn / contact presse</t>
        </is>
      </c>
      <c r="G4" s="16" t="inlineStr">
        <is>
          <t>8 000–22 000</t>
        </is>
      </c>
      <c r="H4" s="16" t="inlineStr">
        <is>
          <t>Variante Nuit Fantastique, 8 ex.</t>
        </is>
      </c>
      <c r="I4" s="16" t="n">
        <v>9000</v>
      </c>
      <c r="J4" s="16" t="inlineStr">
        <is>
          <t>Test de demande hors circuit dealer</t>
        </is>
      </c>
      <c r="K4" s="16" t="inlineStr">
        <is>
          <t>Demo prete (cle a generer) + email .md</t>
        </is>
      </c>
      <c r="L4" s="16" t="n"/>
      <c r="M4" s="16" t="n"/>
      <c r="N4" s="16" t="inlineStr">
        <is>
          <t>/demo/trilobe (cle DEMO_KEYS a poser) · email_trilobe.md</t>
        </is>
      </c>
      <c r="O4" s="16" t="inlineStr">
        <is>
          <t>Profil finance, sensible data. Menager le retail. Email pret (email_trilobe.md). Destinataire G. Massonneau a confirmer. Cle demo par slug a generer dans DEMO_KEYS avant lien.</t>
        </is>
      </c>
    </row>
    <row r="5" ht="15" customHeight="1" s="14">
      <c r="A5" s="16" t="inlineStr">
        <is>
          <t>Kudoke</t>
        </is>
      </c>
      <c r="B5" s="16" t="inlineStr">
        <is>
          <t>Allemagne</t>
        </is>
      </c>
      <c r="C5" s="17" t="inlineStr">
        <is>
          <t>A</t>
        </is>
      </c>
      <c r="D5" s="16" t="n">
        <v>2</v>
      </c>
      <c r="E5" s="16" t="inlineStr">
        <is>
          <t>Stefan &amp; Ev Kudoke</t>
        </is>
      </c>
      <c r="F5" s="16" t="inlineStr">
        <is>
          <t>kudoke.eu (direct)</t>
        </is>
      </c>
      <c r="G5" s="16" t="inlineStr">
        <is>
          <t>5 000–10 000</t>
        </is>
      </c>
      <c r="H5" s="16" t="inlineStr">
        <is>
          <t>Kudoke 2 cadran spécial, 5-8 ex.</t>
        </is>
      </c>
      <c r="I5" s="16" t="n">
        <v>8000</v>
      </c>
      <c r="J5" s="16" t="inlineStr">
        <is>
          <t>Rareté réelle (handwerk), waitlist opaque</t>
        </is>
      </c>
      <c r="K5" s="16" t="inlineStr">
        <is>
          <t>Email .md pret (DE)</t>
        </is>
      </c>
      <c r="L5" s="16" t="n"/>
      <c r="M5" s="16" t="n"/>
      <c r="N5" s="16" t="inlineStr">
        <is>
          <t>email_kudoke.md (demo a generer)</t>
        </is>
      </c>
      <c r="O5" s="16" t="inlineStr">
        <is>
          <t>GPHG 2019. Capacite limitee. Email pret en DE + FR secours (email_kudoke.md) — version DE a faire relire par un germanophone. Destinataire S. &amp; E. Kudoke a confirmer. Demo a generer (slug kudoke).</t>
        </is>
      </c>
    </row>
    <row r="6" ht="15" customHeight="1" s="14">
      <c r="A6" s="16" t="inlineStr">
        <is>
          <t>Holthinrichs</t>
        </is>
      </c>
      <c r="B6" s="16" t="inlineStr">
        <is>
          <t>Pays-Bas</t>
        </is>
      </c>
      <c r="C6" s="17" t="inlineStr">
        <is>
          <t>A</t>
        </is>
      </c>
      <c r="D6" s="16" t="n">
        <v>2</v>
      </c>
      <c r="E6" s="16" t="inlineStr">
        <is>
          <t>Michiel Holthinrichs</t>
        </is>
      </c>
      <c r="F6" s="16" t="inlineStr">
        <is>
          <t>Site / IG</t>
        </is>
      </c>
      <c r="G6" s="16" t="inlineStr">
        <is>
          <t>4 100–26 000</t>
        </is>
      </c>
      <c r="H6" s="16" t="inlineStr">
        <is>
          <t>Édition artisanale, 8-10 ex.</t>
        </is>
      </c>
      <c r="I6" s="16" t="n">
        <v>5000</v>
      </c>
      <c r="J6" s="16" t="inlineStr">
        <is>
          <t>Micro-séries 10 ex. = format Drop No. exact</t>
        </is>
      </c>
      <c r="K6" s="16" t="inlineStr">
        <is>
          <t>Email .md pret</t>
        </is>
      </c>
      <c r="L6" s="16" t="n"/>
      <c r="M6" s="16" t="n"/>
      <c r="N6" s="16" t="inlineStr">
        <is>
          <t>email_holthinrichs.md (demo a generer)</t>
        </is>
      </c>
      <c r="O6" s="16" t="inlineStr">
        <is>
          <t>Delft, proche Anvers — visite atelier. Email pret (email_holthinrichs.md). Destinataire M. Holthinrichs a confirmer. Demo a generer (slug holthinrichs). Angle micro-series 10 ex = format exact.</t>
        </is>
      </c>
    </row>
    <row r="7" ht="23.25" customHeight="1" s="14">
      <c r="A7" s="16" t="inlineStr">
        <is>
          <t>Sartory Billard</t>
        </is>
      </c>
      <c r="B7" s="16" t="inlineStr">
        <is>
          <t>France</t>
        </is>
      </c>
      <c r="C7" s="17" t="inlineStr">
        <is>
          <t>A</t>
        </is>
      </c>
      <c r="D7" s="16" t="n">
        <v>2</v>
      </c>
      <c r="E7" s="16" t="inlineStr">
        <is>
          <t>Armand Billard</t>
        </is>
      </c>
      <c r="F7" s="16" t="inlineStr">
        <is>
          <t>IG / site (FR)</t>
        </is>
      </c>
      <c r="G7" s="16" t="inlineStr">
        <is>
          <t>8 400–30 000</t>
        </is>
      </c>
      <c r="H7" s="16" t="inlineStr">
        <is>
          <t>Série SB05 cadran unique, 3-5 ex.</t>
        </is>
      </c>
      <c r="I7" s="16" t="n">
        <v>9000</v>
      </c>
      <c r="J7" s="16" t="inlineStr">
        <is>
          <t>Inverser le bespoke : le marché fixe le prix</t>
        </is>
      </c>
      <c r="K7" s="16" t="inlineStr">
        <is>
          <t>Email .md pret</t>
        </is>
      </c>
      <c r="L7" s="16" t="n"/>
      <c r="M7" s="16" t="n"/>
      <c r="N7" s="16" t="inlineStr">
        <is>
          <t>email_sartory_billard.md (demo a generer)</t>
        </is>
      </c>
      <c r="O7" s="16" t="inlineStr">
        <is>
          <t>Made-to-order 9 mois — drop = evenement annuel. Email pret (email_sartory_billard.md). Destinataire A. Billard a confirmer. Demo a generer (slug sartory-billard).</t>
        </is>
      </c>
    </row>
    <row r="8" ht="23.25" customHeight="1" s="14">
      <c r="A8" s="16" t="inlineStr">
        <is>
          <t>Fears</t>
        </is>
      </c>
      <c r="B8" s="16" t="inlineStr">
        <is>
          <t>Royaume-Uni</t>
        </is>
      </c>
      <c r="C8" s="17" t="inlineStr">
        <is>
          <t>A</t>
        </is>
      </c>
      <c r="D8" s="16" t="n">
        <v>3</v>
      </c>
      <c r="E8" s="16" t="inlineStr">
        <is>
          <t>Nicholas Bowman-Scargill</t>
        </is>
      </c>
      <c r="F8" s="16" t="inlineStr">
        <is>
          <t>Email site</t>
        </is>
      </c>
      <c r="G8" s="16" t="inlineStr">
        <is>
          <t>3 000–25 000</t>
        </is>
      </c>
      <c r="H8" s="16" t="inlineStr">
        <is>
          <t>Brunswick édition continentale, 8-10 ex.</t>
        </is>
      </c>
      <c r="I8" s="16" t="n">
        <v>4000</v>
      </c>
      <c r="J8" s="16" t="inlineStr">
        <is>
          <t>Boutique Editions 10 ex. inaccessibles EU</t>
        </is>
      </c>
      <c r="K8" s="16" t="inlineStr">
        <is>
          <t>Email .md pret (EN) — en attente Brexit</t>
        </is>
      </c>
      <c r="L8" s="16" t="n"/>
      <c r="M8" s="16" t="n"/>
      <c r="N8" s="16" t="inlineStr">
        <is>
          <t>email_fears.md (demo a generer)</t>
        </is>
      </c>
      <c r="O8" s="16" t="inlineStr">
        <is>
          <t>Valider douane/TVA UK-&gt;UE avant. Email pret en EN (email_fears.md), garde-fou Brexit dans le corps. Destinataire N. Bowman-Scargill a confirmer. Demo a generer (slug fears). NE PAS envoyer tant que le point douane/TVA n est pas tranche.</t>
        </is>
      </c>
    </row>
    <row r="9" ht="23.25" customHeight="1" s="14">
      <c r="A9" s="18" t="inlineStr">
        <is>
          <t>Ressence</t>
        </is>
      </c>
      <c r="B9" s="18" t="inlineStr">
        <is>
          <t>Belgique</t>
        </is>
      </c>
      <c r="C9" s="19" t="inlineStr">
        <is>
          <t>B</t>
        </is>
      </c>
      <c r="D9" s="18" t="n">
        <v>1</v>
      </c>
      <c r="E9" s="18" t="inlineStr">
        <is>
          <t>Benoît Mintiens</t>
        </is>
      </c>
      <c r="F9" s="18" t="inlineStr">
        <is>
          <t>Email Anvers / LinkedIn</t>
        </is>
      </c>
      <c r="G9" s="18" t="inlineStr">
        <is>
          <t>20 000–50 000</t>
        </is>
      </c>
      <c r="H9" s="18" t="inlineStr">
        <is>
          <t>Variante Type 1 / capsule, 4-6 ex.</t>
        </is>
      </c>
      <c r="I9" s="18" t="n">
        <v>18000</v>
      </c>
      <c r="J9" s="18" t="inlineStr">
        <is>
          <t>Crédibilité halo + test hors dealer</t>
        </is>
      </c>
      <c r="K9" s="18" t="inlineStr">
        <is>
          <t>LinkedIn lundi 2026-06-29 (Benoit Mintiens) ; email = RELANCE J+5-6 - LOT BELGE vague 1</t>
        </is>
      </c>
      <c r="L9" s="18" t="n"/>
      <c r="M9" s="18" t="inlineStr">
        <is>
          <t>jeu 02 / ven 03-07-2026 (si LinkedIn muet)</t>
        </is>
      </c>
      <c r="N9" s="18" t="inlineStr">
        <is>
          <t>/demo/ressence · email_ressence.md</t>
        </is>
      </c>
      <c r="O9" s="18" t="inlineStr">
        <is>
          <t>Canal 1 = LinkedIn manuel owner (note connexion dans email_ressence.md, profil via company/ressence). Brouillon Gmail RELANCE pret (hello@ressence.be, objet remonte au fondateur, bandeau VOIE RELANCE, cite TYPE 11/TYPE 9 IKEDA 2026, cle e2ccdb4b..., em dash 0) id r-975427148354297594 - n envoyer que si LinkedIn sans reponse J+5-6. Runbook: runbook-lundi.md. Message post-acceptation LinkedIn avec lien demo dans email_ressence.md. ANCIEN brouillon cold vers raph@dropno.eu (placeholder) a SUPPRIMER. Voir protocole-semaine-1.md.</t>
        </is>
      </c>
    </row>
    <row r="10" ht="23.25" customHeight="1" s="14">
      <c r="A10" s="18" t="inlineStr">
        <is>
          <t>C. van der Klaauw</t>
        </is>
      </c>
      <c r="B10" s="18" t="inlineStr">
        <is>
          <t>Pays-Bas</t>
        </is>
      </c>
      <c r="C10" s="19" t="inlineStr">
        <is>
          <t>B</t>
        </is>
      </c>
      <c r="D10" s="18" t="n">
        <v>2</v>
      </c>
      <c r="E10" s="18" t="inlineStr">
        <is>
          <t>Pim Koeslag (CEO)</t>
        </is>
      </c>
      <c r="F10" s="18" t="inlineStr">
        <is>
          <t>klaauw.com / LinkedIn</t>
        </is>
      </c>
      <c r="G10" s="18" t="inlineStr">
        <is>
          <t>8 000–47 000</t>
        </is>
      </c>
      <c r="H10" s="18" t="inlineStr">
        <is>
          <t>Édition astronomique datée, 3-5 ex.</t>
        </is>
      </c>
      <c r="I10" s="18" t="n">
        <v>15000</v>
      </c>
      <c r="J10" s="18" t="inlineStr">
        <is>
          <t>Drop calé sur un événement céleste = rituel jeudi 18h</t>
        </is>
      </c>
      <c r="K10" s="18" t="inlineStr">
        <is>
          <t>Email à re-rédiger</t>
        </is>
      </c>
      <c r="L10" s="18" t="n"/>
      <c r="M10" s="18" t="n"/>
      <c r="N10" s="18" t="inlineStr">
        <is>
          <t>(fiche + email à recréer)</t>
        </is>
      </c>
      <c r="O10" s="18" t="inlineStr">
        <is>
          <t>Délais fabrication longs</t>
        </is>
      </c>
    </row>
    <row r="11" ht="15" customHeight="1" s="14">
      <c r="A11" s="18" t="inlineStr">
        <is>
          <t>Czapek &amp; Cie</t>
        </is>
      </c>
      <c r="B11" s="18" t="inlineStr">
        <is>
          <t>Suisse</t>
        </is>
      </c>
      <c r="C11" s="19" t="inlineStr">
        <is>
          <t>B</t>
        </is>
      </c>
      <c r="D11" s="18" t="n">
        <v>3</v>
      </c>
      <c r="E11" s="18" t="inlineStr">
        <is>
          <t>Xavier de Roquemaurel (CEO)</t>
        </is>
      </c>
      <c r="F11" s="18" t="inlineStr">
        <is>
          <t>Contact presse / LinkedIn</t>
        </is>
      </c>
      <c r="G11" s="18" t="inlineStr">
        <is>
          <t>10 000–30 000</t>
        </is>
      </c>
      <c r="H11" s="18" t="inlineStr">
        <is>
          <t>Antarctique cadran exclusif, 5-8 ex.</t>
        </is>
      </c>
      <c r="I11" s="18" t="n">
        <v>18000</v>
      </c>
      <c r="J11" s="18" t="inlineStr">
        <is>
          <t>Né d'une souscription : sealed bid = suite logique</t>
        </is>
      </c>
      <c r="K11" s="18" t="inlineStr">
        <is>
          <t>Email à re-rédiger</t>
        </is>
      </c>
      <c r="L11" s="18" t="n"/>
      <c r="M11" s="18" t="n"/>
      <c r="N11" s="18" t="inlineStr">
        <is>
          <t>(fiche + email à recréer)</t>
        </is>
      </c>
      <c r="O11" s="18" t="inlineStr">
        <is>
          <t>Décision plus lente (retail mondial)</t>
        </is>
      </c>
    </row>
    <row r="12" ht="23.25" customHeight="1" s="14">
      <c r="A12" s="20" t="inlineStr">
        <is>
          <t>Raidillon</t>
        </is>
      </c>
      <c r="B12" s="20" t="inlineStr">
        <is>
          <t>Belgique</t>
        </is>
      </c>
      <c r="C12" s="21" t="inlineStr">
        <is>
          <t>C</t>
        </is>
      </c>
      <c r="D12" s="20" t="n">
        <v>4</v>
      </c>
      <c r="E12" s="20" t="inlineStr">
        <is>
          <t>Fabien de Schaetzen</t>
        </is>
      </c>
      <c r="F12" s="20" t="inlineStr">
        <is>
          <t>LinkedIn / réseau BE</t>
        </is>
      </c>
      <c r="G12" s="20" t="inlineStr">
        <is>
          <t>2 300–2 700 (cœur)</t>
        </is>
      </c>
      <c r="H12" s="20" t="inlineStr">
        <is>
          <t>Chrono édition circuit ≥3 000 €, 8-12 ex.</t>
        </is>
      </c>
      <c r="I12" s="20" t="n">
        <v>3000</v>
      </c>
      <c r="J12" s="20" t="inlineStr">
        <is>
          <t>Format 55 ex. déjà un drop ; n° gravé = écho Privilège 001</t>
        </is>
      </c>
      <c r="K12" s="20" t="inlineStr">
        <is>
          <t>PRET A ENVOYER LUNDI 2026-06-29 (cold direct hello@raidillon.com) - LOT BELGE vague 1</t>
        </is>
      </c>
      <c r="L12" s="20" t="n"/>
      <c r="M12" s="20" t="inlineStr">
        <is>
          <t>jeu 02 / ven 03-07-2026 (J+5-6)</t>
        </is>
      </c>
      <c r="N12" s="20" t="inlineStr">
        <is>
          <t>/demo/raidillon-55</t>
        </is>
      </c>
      <c r="O12" s="20" t="inlineStr">
        <is>
          <t>Brouillon Gmail HTML propre (bouton demo champagne, cle 327844c1..., signature+tel, em dash 0) PRET id r9051965699277435003. Runbook: business/Prospection maisons/runbook-lundi.md. Cold email direct lundi. Relance email 2 phrases J+5-6 (jeu 02/ven 03-07) en citant une sortie recente. P.S. non motive present. Voir protocole-semaine-1.md. ANCIENS brouillons obsoletes a supprimer (equipe Raidillon + HTML avorte).</t>
        </is>
      </c>
    </row>
    <row r="13" ht="34.5" customHeight="1" s="14">
      <c r="A13" s="20" t="inlineStr">
        <is>
          <t>Col&amp;MacArthur</t>
        </is>
      </c>
      <c r="B13" s="20" t="inlineStr">
        <is>
          <t>Belgique</t>
        </is>
      </c>
      <c r="C13" s="21" t="inlineStr">
        <is>
          <t>C</t>
        </is>
      </c>
      <c r="D13" s="20" t="n">
        <v>4</v>
      </c>
      <c r="E13" s="20" t="inlineStr">
        <is>
          <t>Sébastien Colen</t>
        </is>
      </c>
      <c r="F13" s="20" t="inlineStr">
        <is>
          <t>LinkedIn (company/colandmcarthur) puis contact@cmarthur.com</t>
        </is>
      </c>
      <c r="G13" s="20" t="inlineStr">
        <is>
          <t>2 949 € (Francorchamps auto) · cœur 350–2 000</t>
        </is>
      </c>
      <c r="H13" s="20" t="inlineStr">
        <is>
          <t>Francorchamps 1921 Auto, allocation 12 ex.</t>
        </is>
      </c>
      <c r="I13" s="20" t="n">
        <v>3150</v>
      </c>
      <c r="J13" s="20" t="inlineStr">
        <is>
          <t>Cadran asphalte du circuit, collab officielle Spa, /500 numérotées : déjà un drop</t>
        </is>
      </c>
      <c r="K13" s="20" t="inlineStr">
        <is>
          <t>LinkedIn lundi 2026-06-29 (Sebastien Colen) ; email = RELANCE J+5-6 - LOT BELGE vague 1</t>
        </is>
      </c>
      <c r="L13" s="20" t="n"/>
      <c r="M13" s="20" t="inlineStr">
        <is>
          <t>jeu 02 / ven 03-07-2026 (si LinkedIn muet)</t>
        </is>
      </c>
      <c r="N13" s="20" t="inlineStr">
        <is>
          <t>/demo/col-macarthur · email_col_macarthur.md · maisons/col-macarthur.md</t>
        </is>
      </c>
      <c r="O13" s="20" t="inlineStr">
        <is>
          <t>Canal 1 = LinkedIn manuel owner (note connexion dans email_col_macarthur.md, profil via company/colandmcarthur). Brouillon Gmail RELANCE pret (contact@cmarthur.com OFFICIEL, objet remonte a Sebastien Colen, bandeau VOIE RELANCE, cite Battlefront/meteorite/Mur de Berlin, cle b721c008..., em dash 0) id r1487436756822199279 - n envoyer que si LinkedIn sans reponse J+5-6. Runbook: runbook-lundi.md. Message post-acceptation LinkedIn avec lien demo dans email_col_macarthur.md. ANCIEN brouillon cold avec objet em-dashe a SUPPRIMER. Voir protocole-semaine-1.md.</t>
        </is>
      </c>
    </row>
    <row r="14" ht="23.25" customHeight="1" s="14">
      <c r="A14" s="20" t="inlineStr">
        <is>
          <t>anOrdain</t>
        </is>
      </c>
      <c r="B14" s="20" t="inlineStr">
        <is>
          <t>Royaume-Uni</t>
        </is>
      </c>
      <c r="C14" s="21" t="inlineStr">
        <is>
          <t>C</t>
        </is>
      </c>
      <c r="D14" s="20" t="n">
        <v>9</v>
      </c>
      <c r="E14" s="20" t="inlineStr">
        <is>
          <t>Lewis Heath</t>
        </is>
      </c>
      <c r="F14" s="20" t="inlineStr">
        <is>
          <t>anordain.com</t>
        </is>
      </c>
      <c r="G14" s="20" t="inlineStr">
        <is>
          <t>1 500–3 000</t>
        </is>
      </c>
      <c r="H14" s="20" t="inlineStr">
        <is>
          <t>Model 3 émail exclusif ≥3 000 €, 10 ex.</t>
        </is>
      </c>
      <c r="I14" s="20" t="n">
        <v>3000</v>
      </c>
      <c r="J14" s="20" t="inlineStr">
        <is>
          <t>Waitlist structurelle, sealed bid résout la file</t>
        </is>
      </c>
      <c r="K14" s="20" t="inlineStr">
        <is>
          <t>Veille</t>
        </is>
      </c>
      <c r="L14" s="20" t="n"/>
      <c r="M14" s="20" t="n"/>
      <c r="N14" s="20" t="inlineStr">
        <is>
          <t>(à recréer)</t>
        </is>
      </c>
      <c r="O14" s="20" t="inlineStr">
        <is>
          <t>Core sous plancher + Brexit</t>
        </is>
      </c>
    </row>
    <row r="15" ht="23.25" customHeight="1" s="14">
      <c r="A15" s="20" t="inlineStr">
        <is>
          <t>Semper &amp; Adhuc</t>
        </is>
      </c>
      <c r="B15" s="20" t="inlineStr">
        <is>
          <t>France</t>
        </is>
      </c>
      <c r="C15" s="21" t="inlineStr">
        <is>
          <t>C</t>
        </is>
      </c>
      <c r="D15" s="20" t="n">
        <v>9</v>
      </c>
      <c r="E15" s="20" t="inlineStr">
        <is>
          <t>Colin de Tonnac</t>
        </is>
      </c>
      <c r="F15" s="20" t="inlineStr">
        <is>
          <t>Site (FR)</t>
        </is>
      </c>
      <c r="G15" s="20" t="inlineStr">
        <is>
          <t>≈2 500</t>
        </is>
      </c>
      <c r="H15" s="20" t="inlineStr">
        <is>
          <t>Série calibres vintage rares ≥3 000 €, 5-8 ex.</t>
        </is>
      </c>
      <c r="I15" s="20" t="n">
        <v>3000</v>
      </c>
      <c r="J15" s="20" t="inlineStr">
        <is>
          <t>Chaque pièce non-reproductible = drop numéroté parfait</t>
        </is>
      </c>
      <c r="K15" s="20" t="inlineStr">
        <is>
          <t>Veille</t>
        </is>
      </c>
      <c r="L15" s="20" t="n"/>
      <c r="M15" s="20" t="n"/>
      <c r="N15" s="20" t="inlineStr">
        <is>
          <t>(à recréer)</t>
        </is>
      </c>
      <c r="O15" s="20" t="inlineStr">
        <is>
          <t>Bordeaux, ex-Patek</t>
        </is>
      </c>
    </row>
    <row r="16" ht="23.25" customHeight="1" s="14">
      <c r="A16" s="20" t="inlineStr">
        <is>
          <t>Baltic</t>
        </is>
      </c>
      <c r="B16" s="20" t="inlineStr">
        <is>
          <t>France</t>
        </is>
      </c>
      <c r="C16" s="21" t="inlineStr">
        <is>
          <t>C</t>
        </is>
      </c>
      <c r="D16" s="20" t="n">
        <v>9</v>
      </c>
      <c r="E16" s="20" t="inlineStr">
        <is>
          <t>Étienne Malec</t>
        </is>
      </c>
      <c r="F16" s="20" t="inlineStr">
        <is>
          <t>Site / IG</t>
        </is>
      </c>
      <c r="G16" s="20" t="inlineStr">
        <is>
          <t>600–1 500 (cœur)</t>
        </is>
      </c>
      <c r="H16" s="20" t="inlineStr">
        <is>
          <t>Édition haute (or/collab) uniquement</t>
        </is>
      </c>
      <c r="I16" s="20" t="n">
        <v>3500</v>
      </c>
      <c r="J16" s="20" t="inlineStr">
        <is>
          <t>Grosse machine à sell-out FR, cœur sous plancher</t>
        </is>
      </c>
      <c r="K16" s="20" t="inlineStr">
        <is>
          <t>Veille</t>
        </is>
      </c>
      <c r="L16" s="20" t="n"/>
      <c r="M16" s="20" t="n"/>
      <c r="N16" s="20" t="inlineStr">
        <is>
          <t>(à recréer)</t>
        </is>
      </c>
      <c r="O16" s="20" t="inlineStr">
        <is>
          <t>Attendre une édition ≥3 000 €</t>
        </is>
      </c>
    </row>
    <row r="17" ht="15" customHeight="1" s="14">
      <c r="A17" s="20" t="inlineStr">
        <is>
          <t>Studio Underd0g</t>
        </is>
      </c>
      <c r="B17" s="20" t="inlineStr">
        <is>
          <t>Royaume-Uni</t>
        </is>
      </c>
      <c r="C17" s="21" t="inlineStr">
        <is>
          <t>C</t>
        </is>
      </c>
      <c r="D17" s="20" t="n">
        <v>9</v>
      </c>
      <c r="E17" s="20" t="inlineStr">
        <is>
          <t>Richard Benc</t>
        </is>
      </c>
      <c r="F17" s="20" t="inlineStr">
        <is>
          <t>IG / YouTube</t>
        </is>
      </c>
      <c r="G17" s="20" t="inlineStr">
        <is>
          <t>500–2 000</t>
        </is>
      </c>
      <c r="H17" s="20" t="inlineStr">
        <is>
          <t>v2 si plancher abaissé</t>
        </is>
      </c>
      <c r="I17" s="20" t="n">
        <v>0</v>
      </c>
      <c r="J17" s="20" t="inlineStr">
        <is>
          <t>Culture drop la plus pure du segment</t>
        </is>
      </c>
      <c r="K17" s="20" t="inlineStr">
        <is>
          <t>Veille</t>
        </is>
      </c>
      <c r="L17" s="20" t="n"/>
      <c r="M17" s="20" t="n"/>
      <c r="N17" s="20" t="inlineStr">
        <is>
          <t>(à recréer)</t>
        </is>
      </c>
      <c r="O17" s="20" t="inlineStr">
        <is>
          <t>Hors scope prix MVP</t>
        </is>
      </c>
    </row>
  </sheetData>
  <autoFilter ref="A1:O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3" min="1" max="1"/>
  </cols>
  <sheetData>
    <row r="1" ht="15" customHeight="1" s="14">
      <c r="A1" s="22" t="inlineStr">
        <is>
          <t>Pipeline Drop No. — synthèse</t>
        </is>
      </c>
    </row>
    <row r="2"/>
    <row r="3" ht="15" customHeight="1" s="14">
      <c r="A3" s="23" t="inlineStr">
        <is>
          <t>Maisons total</t>
        </is>
      </c>
      <c r="B3" s="24">
        <f>COUNTA(Pipeline!A2:A17)</f>
        <v/>
      </c>
    </row>
    <row r="4" ht="15" customHeight="1" s="14">
      <c r="A4" s="23" t="inlineStr">
        <is>
          <t>Tier A (cœur de cible)</t>
        </is>
      </c>
      <c r="B4" s="24">
        <f>COUNTIF(Pipeline!C2:C17,"A")</f>
        <v/>
      </c>
    </row>
    <row r="5" ht="15" customHeight="1" s="14">
      <c r="A5" s="23" t="inlineStr">
        <is>
          <t>Tier B (halo &gt;15k€)</t>
        </is>
      </c>
      <c r="B5" s="24">
        <f>COUNTIF(Pipeline!C2:C17,"B")</f>
        <v/>
      </c>
    </row>
    <row r="6" ht="15" customHeight="1" s="14">
      <c r="A6" s="23" t="inlineStr">
        <is>
          <t>Tier C (veille / édition haute)</t>
        </is>
      </c>
      <c r="B6" s="24">
        <f>COUNTIF(Pipeline!C2:C17,"C")</f>
        <v/>
      </c>
    </row>
    <row r="7" ht="15" customHeight="1" s="14">
      <c r="A7" s="23" t="inlineStr">
        <is>
          <t>Démos prêtes</t>
        </is>
      </c>
      <c r="B7" s="24" t="n">
        <v>5</v>
      </c>
    </row>
    <row r="8" ht="15" customHeight="1" s="14">
      <c r="A8" s="23" t="inlineStr">
        <is>
          <t>Emails prêts (sur disque)</t>
        </is>
      </c>
      <c r="B8" s="24" t="n">
        <v>10</v>
      </c>
    </row>
    <row r="9"/>
    <row r="10"/>
    <row r="11" ht="15" customHeight="1" s="14">
      <c r="A11" s="25" t="inlineStr">
        <is>
          <t>⚠️ Démos en base : furlan-marri, ressence, trilobe, raidillon-55, col-macarthur (5).</t>
        </is>
      </c>
    </row>
    <row r="12" ht="15" customHeight="1" s="14">
      <c r="A12" s="25" t="inlineStr">
        <is>
          <t>Emails sur disque (10) : furlan_marri, ressence, col_macarthur, raidillon, trilobe, atelier_wen, holthinrichs, sartory_billard, kudoke, fears. Tous les Tier A ont desormais un email .md (Trilobe demo prete mais cle a generer ; Kudoke = DE a relire ; Fears = en attente Brexit).</t>
        </is>
      </c>
    </row>
    <row r="13">
      <c r="A13" s="13" t="inlineStr">
        <is>
          <t>Brouillons Gmail LOT BELGE reconcilies 2026-06-26 (3 propres, HTML, bouton demo champagne, cles par slug, signature+tel, em dash 0) : Raidillon cold hello@raidillon.com PRET ; relance Ressence hello@ressence.be (VOIE RELANCE) ; relance Col contact@cmarthur.com (VOIE RELANCE). 4 anciens brouillons obsoletes a SUPPRIMER par owner (Ressence vers raph@dropno.eu, Col cold em-dashe, Raidillon equipe, Raidillon HTML avorte). Furlan Marri brouillon inchange (hors lot belge). Runbook de lancement : runbook-lundi.md (declenchement lundi 2026-06-29, relances jeu 02/ven 03-07).</t>
        </is>
      </c>
    </row>
    <row r="14">
      <c r="A14" s="13" t="inlineStr">
        <is>
          <t>LOT BELGE = vague 1 (apprentissage) : Ressence, Col&amp;MacArthur, Raidillon. Protocole semaine 1 (metrique amont, relance J+5-6, grille pas atteint / pas convaincu / refus motive) dans protocole-semaine-1.md.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2026-06-22T13:45:44Z</dcterms:created>
  <dcterms:modified xsi:type="dcterms:W3CDTF">2026-06-26T19:59:08Z</dcterms:modified>
  <cp:revision>0</cp:revision>
</cp:coreProperties>
</file>